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gnaldo\Dropbox\PC\Desktop\DR Agnaldo 13-07-2019\Agnaldo\ARTIGO NATHÁLIA DOUTORADO 1\"/>
    </mc:Choice>
  </mc:AlternateContent>
  <xr:revisionPtr revIDLastSave="0" documentId="8_{9A07D0BD-D05D-4F2A-A61B-5B61B2704EC1}" xr6:coauthVersionLast="47" xr6:coauthVersionMax="47" xr10:uidLastSave="{00000000-0000-0000-0000-000000000000}"/>
  <bookViews>
    <workbookView xWindow="-120" yWindow="-120" windowWidth="21840" windowHeight="13140" tabRatio="521" activeTab="1" xr2:uid="{00000000-000D-0000-FFFF-FFFF00000000}"/>
  </bookViews>
  <sheets>
    <sheet name="Banco de Dados" sheetId="11" r:id="rId1"/>
    <sheet name="Tab 1." sheetId="17" r:id="rId2"/>
    <sheet name="Tab 2." sheetId="19" r:id="rId3"/>
    <sheet name="Tab 3." sheetId="23" r:id="rId4"/>
    <sheet name="Gráf Dispersão" sheetId="22" r:id="rId5"/>
    <sheet name="ANEXO" sheetId="16" r:id="rId6"/>
  </sheets>
  <definedNames>
    <definedName name="_xlnm._FilterDatabase" localSheetId="0" hidden="1">'Banco de Dados'!$A$4:$BL$73</definedName>
    <definedName name="_xlnm._FilterDatabase" localSheetId="4" hidden="1">'Gráf Dispersão'!$A$2:$F$71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<sst xmlns="http://schemas.openxmlformats.org/spreadsheetml/2006/main" count="535" uniqueCount="196">
  <si>
    <t>Peso (kg)</t>
  </si>
  <si>
    <t>Altura (m)</t>
  </si>
  <si>
    <t>BORG 2'</t>
  </si>
  <si>
    <t>BORG 4'</t>
  </si>
  <si>
    <t>BORG 6'</t>
  </si>
  <si>
    <t>SDNN (ms)</t>
  </si>
  <si>
    <t>rMSSD (ms)</t>
  </si>
  <si>
    <t>PNN50 (%)</t>
  </si>
  <si>
    <t>SD1 (ms)</t>
  </si>
  <si>
    <t>PT (ms2)</t>
  </si>
  <si>
    <t>VLF (ms2)</t>
  </si>
  <si>
    <t>LF (ms2)</t>
  </si>
  <si>
    <t>HF (ms2)</t>
  </si>
  <si>
    <t>LF (u.n.)</t>
  </si>
  <si>
    <t>HF (u.n.)</t>
  </si>
  <si>
    <t>LF:HF</t>
  </si>
  <si>
    <t>mR-R (ms)</t>
  </si>
  <si>
    <t>mFC(bpm)</t>
  </si>
  <si>
    <t>PNS mRR(ms)</t>
  </si>
  <si>
    <t>PNS RMSSD (ms)</t>
  </si>
  <si>
    <t>PNS SD1 (%)</t>
  </si>
  <si>
    <t>PNS Index</t>
  </si>
  <si>
    <t>SNS Stress index</t>
  </si>
  <si>
    <t>SNS SD2(%)</t>
  </si>
  <si>
    <t>SNS Index</t>
  </si>
  <si>
    <t>RR trian. Index</t>
  </si>
  <si>
    <t>SI</t>
  </si>
  <si>
    <t>TINN (ms)</t>
  </si>
  <si>
    <t>SD2 (ms)</t>
  </si>
  <si>
    <t>SD2/SD1</t>
  </si>
  <si>
    <t>ApEn</t>
  </si>
  <si>
    <t>SampEn</t>
  </si>
  <si>
    <t>Dessaturação</t>
  </si>
  <si>
    <t>Handgrip</t>
  </si>
  <si>
    <t>Força quadríceps</t>
  </si>
  <si>
    <t>HAQ</t>
  </si>
  <si>
    <t xml:space="preserve">CVF (% predito) </t>
  </si>
  <si>
    <t>VEF1 (% predito)</t>
  </si>
  <si>
    <t>DLCO (% predito)</t>
  </si>
  <si>
    <t>CVF/DLCO</t>
  </si>
  <si>
    <t>PImáx (% predito)</t>
  </si>
  <si>
    <t xml:space="preserve">PEmáx (% predito)  </t>
  </si>
  <si>
    <t>fim</t>
  </si>
  <si>
    <t>Idade (anos)</t>
  </si>
  <si>
    <r>
      <t>IMC (kg/m</t>
    </r>
    <r>
      <rPr>
        <b/>
        <vertAlign val="superscript"/>
        <sz val="9"/>
        <color rgb="FF000000"/>
        <rFont val="Arial"/>
        <family val="2"/>
      </rPr>
      <t>2</t>
    </r>
    <r>
      <rPr>
        <b/>
        <sz val="9"/>
        <color rgb="FF000000"/>
        <rFont val="Arial"/>
        <family val="2"/>
      </rPr>
      <t>)</t>
    </r>
  </si>
  <si>
    <t>No</t>
  </si>
  <si>
    <t>TC6M</t>
  </si>
  <si>
    <t>VARIABILIDADE DA FC</t>
  </si>
  <si>
    <t>ANTES do TC6'</t>
  </si>
  <si>
    <t>de 0 a 10</t>
  </si>
  <si>
    <t>DEPOIS do TC6'</t>
  </si>
  <si>
    <t>FC antes (bpm)</t>
  </si>
  <si>
    <t>FR antes</t>
  </si>
  <si>
    <t>PAS antes (mm Hg)</t>
  </si>
  <si>
    <t>PAD antes (mm Hg)</t>
  </si>
  <si>
    <t>SP02 antes</t>
  </si>
  <si>
    <t>FC depois (bpm)</t>
  </si>
  <si>
    <t>FR depois</t>
  </si>
  <si>
    <t>PAS depois (mm Hg)</t>
  </si>
  <si>
    <t>PAD depois (mm Hg)</t>
  </si>
  <si>
    <t>SP02 depois</t>
  </si>
  <si>
    <t>RR trian, Index</t>
  </si>
  <si>
    <t>LF (u,n,)</t>
  </si>
  <si>
    <t>HF (u,n,)</t>
  </si>
  <si>
    <t>Distância TC6' (m)</t>
  </si>
  <si>
    <t>Predito  TC6'</t>
  </si>
  <si>
    <t>DTC6'  (% predito)</t>
  </si>
  <si>
    <t>Dessaturação (%)</t>
  </si>
  <si>
    <t>1 = sim, 2 = não</t>
  </si>
  <si>
    <t>FUNÇÃO PULMONAR</t>
  </si>
  <si>
    <t>CLÍNICA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</si>
  <si>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</si>
  <si>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</si>
  <si>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</si>
  <si>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</si>
  <si>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</si>
  <si>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</si>
  <si>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</si>
  <si>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</si>
  <si>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</si>
  <si>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</si>
  <si>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</si>
  <si>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</si>
  <si>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</si>
  <si>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</si>
  <si>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</si>
  <si>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</si>
  <si>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</si>
  <si>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</si>
  <si>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</si>
  <si>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</si>
  <si>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</si>
  <si>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</si>
  <si>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</si>
  <si>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</si>
  <si>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</si>
  <si>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</si>
  <si>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</si>
  <si>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</si>
  <si>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</si>
  <si>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</si>
  <si>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</si>
  <si>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</si>
  <si>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</si>
  <si>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</si>
  <si>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</si>
  <si>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</si>
  <si>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</si>
  <si>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</si>
  <si>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</si>
  <si>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</si>
  <si>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</si>
  <si>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</si>
  <si>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</si>
  <si>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</si>
  <si>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</si>
  <si>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</si>
  <si>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</si>
  <si>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</si>
  <si>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</si>
  <si>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</si>
  <si>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</si>
  <si>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</si>
  <si>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</si>
  <si>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</si>
  <si>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</si>
  <si>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</si>
  <si>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</si>
  <si>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</si>
  <si>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</si>
  <si>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</si>
  <si>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</si>
  <si>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</si>
  <si>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</si>
  <si>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</si>
  <si>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BANCO DE DADOS FINAL UTILIZADO NA ANÁLISE ESTATÍSTICA - NATHÁLIA (AGNALDO LOPES) - MARÇO 2023</t>
  </si>
  <si>
    <r>
      <t>VLF (ms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</si>
  <si>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r>
      <t>LF (ms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</si>
  <si>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r>
      <t>HF (ms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</si>
  <si>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t>NN50 (beats)</t>
  </si>
  <si>
    <t>min FC (bpm)</t>
  </si>
  <si>
    <t>mFC (bpm)</t>
  </si>
  <si>
    <t>max FC (bpm)</t>
  </si>
  <si>
    <t>SNS mFC (bpm)</t>
  </si>
  <si>
    <t>PNS mRR (ms)</t>
  </si>
  <si>
    <t>SNS Stress Index</t>
  </si>
  <si>
    <t>SNS SD2 (%)</t>
  </si>
  <si>
    <r>
      <t>PT (ms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</si>
  <si>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r>
      <t>IMC (kg/m</t>
    </r>
    <r>
      <rPr>
        <vertAlign val="superscript"/>
        <sz val="9"/>
        <color theme="1"/>
        <rFont val="Arial"/>
        <family val="2"/>
      </rPr>
      <t>2</t>
    </r>
    <r>
      <rPr>
        <sz val="9"/>
        <color theme="1"/>
        <rFont val="Arial"/>
        <family val="2"/>
      </rPr>
      <t>)</t>
    </r>
  </si>
  <si>
    <t>maxFC (bpm)</t>
  </si>
  <si>
    <t>HANDGRIP</t>
  </si>
  <si>
    <t>-</t>
  </si>
  <si>
    <t>Variável</t>
  </si>
  <si>
    <t>n</t>
  </si>
  <si>
    <t>média</t>
  </si>
  <si>
    <t>DP</t>
  </si>
  <si>
    <t>mediana</t>
  </si>
  <si>
    <t>IIQ</t>
  </si>
  <si>
    <t>mínimo</t>
  </si>
  <si>
    <t>máximo</t>
  </si>
  <si>
    <t>Clínica</t>
  </si>
  <si>
    <t>Função Pulmonar</t>
  </si>
  <si>
    <t>Escala BORG</t>
  </si>
  <si>
    <t>TC6'</t>
  </si>
  <si>
    <t>Variabilidade da FC</t>
  </si>
  <si>
    <t>SpO2 depois</t>
  </si>
  <si>
    <t>SpO2 antes</t>
  </si>
  <si>
    <t>Predito DTC6' (m)</t>
  </si>
  <si>
    <t>DP: desvio padrão, IIQ: intervalo interquartílico (Q1 - Q3).</t>
  </si>
  <si>
    <t>Hemodinâmica antes TC6'</t>
  </si>
  <si>
    <t>Hemodinâmica depois TC6'</t>
  </si>
  <si>
    <t>±</t>
  </si>
  <si>
    <t>FC (bpm)</t>
  </si>
  <si>
    <t xml:space="preserve">FR </t>
  </si>
  <si>
    <t>PAS (mm Hg)</t>
  </si>
  <si>
    <t>PAD (mm Hg)</t>
  </si>
  <si>
    <t xml:space="preserve">SpO2 </t>
  </si>
  <si>
    <r>
      <t xml:space="preserve">Dessaturação </t>
    </r>
    <r>
      <rPr>
        <sz val="9"/>
        <color theme="1"/>
        <rFont val="Calibri"/>
        <family val="2"/>
      </rPr>
      <t>≤</t>
    </r>
    <r>
      <rPr>
        <sz val="9"/>
        <color theme="1"/>
        <rFont val="Arial"/>
        <family val="2"/>
      </rPr>
      <t xml:space="preserve"> 4% (n , %)</t>
    </r>
  </si>
  <si>
    <t>Dessaturação relativa (%)</t>
  </si>
  <si>
    <r>
      <t xml:space="preserve">Dados numéricos foram expressos pela média </t>
    </r>
    <r>
      <rPr>
        <sz val="8"/>
        <color indexed="8"/>
        <rFont val="Calibri"/>
        <family val="2"/>
      </rPr>
      <t xml:space="preserve">± </t>
    </r>
    <r>
      <rPr>
        <sz val="8"/>
        <color indexed="8"/>
        <rFont val="Arial"/>
        <family val="2"/>
      </rPr>
      <t xml:space="preserve">desvio padrão ou pela mediana e intervalo interquartílico (Q1 - Q3), este não Gaussianos. A dessaturação </t>
    </r>
    <r>
      <rPr>
        <sz val="8"/>
        <color indexed="8"/>
        <rFont val="Calibri"/>
        <family val="2"/>
      </rPr>
      <t>≤</t>
    </r>
    <r>
      <rPr>
        <sz val="8"/>
        <color indexed="8"/>
        <rFont val="Arial"/>
        <family val="2"/>
      </rPr>
      <t xml:space="preserve"> 4% foi expressa pela frequência e porcentagem.</t>
    </r>
  </si>
  <si>
    <t>r</t>
  </si>
  <si>
    <t>p valor</t>
  </si>
  <si>
    <t>DTC6' (m)</t>
  </si>
  <si>
    <t>r: coeficiente de correlação de Pearson.</t>
  </si>
  <si>
    <t>Coeficiente β</t>
  </si>
  <si>
    <t>Erro padrão β</t>
  </si>
  <si>
    <t>R</t>
  </si>
  <si>
    <r>
      <rPr>
        <b/>
        <sz val="9"/>
        <color indexed="8"/>
        <rFont val="Arial"/>
        <family val="2"/>
      </rPr>
      <t>R</t>
    </r>
    <r>
      <rPr>
        <b/>
        <vertAlign val="superscript"/>
        <sz val="9"/>
        <color indexed="8"/>
        <rFont val="Arial"/>
        <family val="2"/>
      </rPr>
      <t>2</t>
    </r>
    <r>
      <rPr>
        <b/>
        <sz val="9"/>
        <color indexed="8"/>
        <rFont val="Arial"/>
        <family val="2"/>
      </rPr>
      <t xml:space="preserve">    ajustado</t>
    </r>
  </si>
  <si>
    <t>RMSE</t>
  </si>
  <si>
    <t>Contante</t>
  </si>
  <si>
    <t>&lt; 0,0001</t>
  </si>
  <si>
    <t>DLCo (% predito)</t>
  </si>
  <si>
    <r>
      <t>IMC (kg/m</t>
    </r>
    <r>
      <rPr>
        <b/>
        <vertAlign val="superscript"/>
        <sz val="8"/>
        <color rgb="FF000000"/>
        <rFont val="Arial"/>
        <family val="2"/>
      </rPr>
      <t>2</t>
    </r>
    <r>
      <rPr>
        <b/>
        <sz val="8"/>
        <color rgb="FF000000"/>
        <rFont val="Arial"/>
        <family val="2"/>
      </rPr>
      <t>)</t>
    </r>
  </si>
  <si>
    <r>
      <t xml:space="preserve">Dados numéricos foram expressos pela média </t>
    </r>
    <r>
      <rPr>
        <sz val="8"/>
        <color indexed="8"/>
        <rFont val="Calibri"/>
        <family val="2"/>
      </rPr>
      <t xml:space="preserve">± </t>
    </r>
    <r>
      <rPr>
        <sz val="8"/>
        <color indexed="8"/>
        <rFont val="Arial"/>
        <family val="2"/>
      </rPr>
      <t xml:space="preserve">desvio padrão ou pela mediana e intervalo interquartílico (Q1 - Q3), este não Gaussianos. </t>
    </r>
  </si>
  <si>
    <r>
      <t xml:space="preserve">Os dados da VFC foram expressos pela </t>
    </r>
    <r>
      <rPr>
        <sz val="8"/>
        <color indexed="8"/>
        <rFont val="Arial"/>
        <family val="2"/>
      </rPr>
      <t>mediana e intervalo interquartílico (Q1-Q3).</t>
    </r>
  </si>
  <si>
    <r>
      <t>Regressão Linear Múltipla para DTC6'. Método de seleção utilizado foi o de inserir passo a passo (</t>
    </r>
    <r>
      <rPr>
        <i/>
        <sz val="8"/>
        <color indexed="8"/>
        <rFont val="Arial"/>
        <family val="2"/>
      </rPr>
      <t>stepwise forward</t>
    </r>
    <r>
      <rPr>
        <sz val="8"/>
        <color indexed="8"/>
        <rFont val="Arial"/>
        <family val="2"/>
      </rPr>
      <t>).                      R: coeficiente de correlação acumulado. R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: coeficiente de determinação ajustado acumulado. RMSE: raiz do erro quadrático médio.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</si>
</sst>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###0"/>
    <numFmt numFmtId="168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vertAlign val="superscript"/>
      <sz val="9"/>
      <color rgb="FF000000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Arial"/>
      <family val="2"/>
    </font>
    <font>
      <vertAlign val="superscript"/>
      <sz val="9"/>
      <color theme="1"/>
      <name val="Arial"/>
      <family val="2"/>
    </font>
    <font>
      <sz val="9"/>
      <color rgb="FFFF000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sz val="10"/>
      <name val="Arial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9"/>
      <color indexed="8"/>
      <name val="Calibri"/>
      <family val="2"/>
    </font>
    <font>
      <sz val="8"/>
      <color indexed="8"/>
      <name val="Calibri"/>
      <family val="2"/>
    </font>
    <font>
      <sz val="9"/>
      <color theme="1"/>
      <name val="Calibri"/>
      <family val="2"/>
    </font>
    <font>
      <b/>
      <sz val="10"/>
      <color indexed="8"/>
      <name val="Arial"/>
      <family val="2"/>
    </font>
    <font>
      <i/>
      <sz val="9"/>
      <color indexed="8"/>
      <name val="Arial"/>
      <family val="2"/>
    </font>
    <font>
      <i/>
      <sz val="9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9"/>
      <color indexed="8"/>
      <name val="Arial"/>
      <family val="2"/>
    </font>
    <font>
      <b/>
      <vertAlign val="superscript"/>
      <sz val="9"/>
      <color indexed="8"/>
      <name val="Arial"/>
      <family val="2"/>
    </font>
    <font>
      <i/>
      <sz val="8"/>
      <color indexed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EF2CB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rgb="FFFEF2CB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</cellStyleXfs>
  <cellXfs count="215">
    <xf numFmtId="0" fontId="0" fillId="0" borderId="0" xfId="0"/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2" fillId="4" borderId="3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/>
    </xf>
    <xf numFmtId="166" fontId="2" fillId="4" borderId="1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49" fontId="8" fillId="4" borderId="1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166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0" fontId="3" fillId="0" borderId="0" xfId="1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2" fontId="3" fillId="0" borderId="2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166" fontId="3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6" fontId="15" fillId="0" borderId="0" xfId="0" applyNumberFormat="1" applyFont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0" fontId="20" fillId="0" borderId="7" xfId="3" applyFont="1" applyBorder="1" applyAlignment="1">
      <alignment horizontal="center" vertical="center" wrapText="1"/>
    </xf>
    <xf numFmtId="2" fontId="20" fillId="0" borderId="7" xfId="3" applyNumberFormat="1" applyFont="1" applyBorder="1" applyAlignment="1">
      <alignment horizontal="center" vertical="center" wrapText="1"/>
    </xf>
    <xf numFmtId="167" fontId="17" fillId="0" borderId="0" xfId="2" applyNumberFormat="1" applyFont="1" applyAlignment="1">
      <alignment horizontal="center" vertical="center"/>
    </xf>
    <xf numFmtId="2" fontId="17" fillId="0" borderId="1" xfId="3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167" fontId="20" fillId="0" borderId="0" xfId="2" applyNumberFormat="1" applyFont="1" applyAlignment="1">
      <alignment horizontal="center" vertical="center"/>
    </xf>
    <xf numFmtId="0" fontId="7" fillId="9" borderId="0" xfId="0" applyFont="1" applyFill="1" applyAlignment="1">
      <alignment horizontal="left" vertical="center"/>
    </xf>
    <xf numFmtId="0" fontId="20" fillId="9" borderId="0" xfId="2" applyFont="1" applyFill="1" applyAlignment="1">
      <alignment horizontal="center" vertical="center" wrapText="1"/>
    </xf>
    <xf numFmtId="167" fontId="20" fillId="9" borderId="0" xfId="2" applyNumberFormat="1" applyFont="1" applyFill="1" applyAlignment="1">
      <alignment horizontal="center" vertical="center"/>
    </xf>
    <xf numFmtId="0" fontId="7" fillId="0" borderId="0" xfId="0" applyFont="1" applyAlignment="1">
      <alignment vertical="center"/>
    </xf>
    <xf numFmtId="2" fontId="20" fillId="9" borderId="0" xfId="2" applyNumberFormat="1" applyFont="1" applyFill="1" applyAlignment="1">
      <alignment horizontal="center" vertical="center" wrapText="1"/>
    </xf>
    <xf numFmtId="2" fontId="17" fillId="0" borderId="0" xfId="2" applyNumberFormat="1" applyFont="1" applyAlignment="1">
      <alignment horizontal="center" vertical="center"/>
    </xf>
    <xf numFmtId="2" fontId="20" fillId="9" borderId="0" xfId="2" applyNumberFormat="1" applyFont="1" applyFill="1" applyAlignment="1">
      <alignment horizontal="center" vertical="center"/>
    </xf>
    <xf numFmtId="2" fontId="3" fillId="0" borderId="0" xfId="0" applyNumberFormat="1" applyFont="1" applyAlignment="1">
      <alignment vertical="center"/>
    </xf>
    <xf numFmtId="0" fontId="17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horizontal="right" vertical="center"/>
    </xf>
    <xf numFmtId="0" fontId="17" fillId="0" borderId="1" xfId="3" applyFont="1" applyBorder="1" applyAlignment="1">
      <alignment horizontal="left" vertical="center"/>
    </xf>
    <xf numFmtId="0" fontId="20" fillId="0" borderId="7" xfId="3" applyFont="1" applyBorder="1" applyAlignment="1">
      <alignment horizontal="center" vertical="center"/>
    </xf>
    <xf numFmtId="0" fontId="20" fillId="9" borderId="0" xfId="2" applyFont="1" applyFill="1" applyAlignment="1">
      <alignment horizontal="center" vertical="center"/>
    </xf>
    <xf numFmtId="0" fontId="20" fillId="9" borderId="0" xfId="2" applyFont="1" applyFill="1" applyAlignment="1">
      <alignment horizontal="right" vertical="center"/>
    </xf>
    <xf numFmtId="0" fontId="20" fillId="9" borderId="0" xfId="2" applyFont="1" applyFill="1" applyAlignment="1">
      <alignment horizontal="left" vertical="center"/>
    </xf>
    <xf numFmtId="0" fontId="17" fillId="0" borderId="0" xfId="2" applyFont="1" applyAlignment="1">
      <alignment horizontal="center" vertical="center"/>
    </xf>
    <xf numFmtId="0" fontId="17" fillId="0" borderId="0" xfId="2" applyFont="1" applyAlignment="1">
      <alignment horizontal="right" vertical="center"/>
    </xf>
    <xf numFmtId="0" fontId="17" fillId="0" borderId="0" xfId="2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17" fillId="0" borderId="0" xfId="2" applyNumberFormat="1" applyFont="1" applyAlignment="1">
      <alignment horizontal="center" vertical="center"/>
    </xf>
    <xf numFmtId="1" fontId="17" fillId="0" borderId="0" xfId="2" applyNumberFormat="1" applyFont="1" applyAlignment="1">
      <alignment horizontal="center" vertical="center"/>
    </xf>
    <xf numFmtId="1" fontId="17" fillId="0" borderId="0" xfId="2" applyNumberFormat="1" applyFont="1" applyAlignment="1">
      <alignment horizontal="left" vertical="center"/>
    </xf>
    <xf numFmtId="164" fontId="17" fillId="0" borderId="0" xfId="2" applyNumberFormat="1" applyFont="1" applyAlignment="1">
      <alignment horizontal="right" vertical="center"/>
    </xf>
    <xf numFmtId="164" fontId="17" fillId="0" borderId="0" xfId="2" applyNumberFormat="1" applyFont="1" applyAlignment="1">
      <alignment horizontal="left" vertical="center"/>
    </xf>
    <xf numFmtId="1" fontId="17" fillId="0" borderId="0" xfId="2" applyNumberFormat="1" applyFont="1" applyAlignment="1">
      <alignment horizontal="right" vertical="center"/>
    </xf>
    <xf numFmtId="2" fontId="17" fillId="0" borderId="0" xfId="2" applyNumberFormat="1" applyFont="1" applyAlignment="1">
      <alignment horizontal="right" vertical="center"/>
    </xf>
    <xf numFmtId="2" fontId="17" fillId="0" borderId="0" xfId="2" applyNumberFormat="1" applyFont="1" applyAlignment="1">
      <alignment horizontal="left" vertical="center"/>
    </xf>
    <xf numFmtId="167" fontId="17" fillId="0" borderId="1" xfId="2" applyNumberFormat="1" applyFont="1" applyBorder="1" applyAlignment="1">
      <alignment horizontal="center" vertical="center"/>
    </xf>
    <xf numFmtId="2" fontId="17" fillId="0" borderId="1" xfId="2" applyNumberFormat="1" applyFont="1" applyBorder="1" applyAlignment="1">
      <alignment horizontal="center" vertical="center"/>
    </xf>
    <xf numFmtId="0" fontId="17" fillId="0" borderId="1" xfId="2" applyFont="1" applyBorder="1" applyAlignment="1">
      <alignment horizontal="center" vertical="center"/>
    </xf>
    <xf numFmtId="164" fontId="17" fillId="0" borderId="1" xfId="2" applyNumberFormat="1" applyFont="1" applyBorder="1" applyAlignment="1">
      <alignment horizontal="right" vertical="center"/>
    </xf>
    <xf numFmtId="164" fontId="17" fillId="0" borderId="1" xfId="2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167" fontId="17" fillId="0" borderId="8" xfId="2" applyNumberFormat="1" applyFont="1" applyBorder="1" applyAlignment="1">
      <alignment horizontal="center" vertical="center"/>
    </xf>
    <xf numFmtId="164" fontId="17" fillId="0" borderId="8" xfId="2" applyNumberFormat="1" applyFont="1" applyBorder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0" borderId="8" xfId="2" applyFont="1" applyBorder="1" applyAlignment="1">
      <alignment horizontal="right" vertical="center"/>
    </xf>
    <xf numFmtId="0" fontId="17" fillId="0" borderId="8" xfId="2" applyFont="1" applyBorder="1" applyAlignment="1">
      <alignment horizontal="left" vertical="center"/>
    </xf>
    <xf numFmtId="1" fontId="20" fillId="0" borderId="0" xfId="2" applyNumberFormat="1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1" fontId="20" fillId="0" borderId="0" xfId="2" applyNumberFormat="1" applyFont="1" applyAlignment="1">
      <alignment horizontal="right" vertical="center"/>
    </xf>
    <xf numFmtId="1" fontId="20" fillId="0" borderId="0" xfId="2" applyNumberFormat="1" applyFont="1" applyAlignment="1">
      <alignment horizontal="left" vertical="center"/>
    </xf>
    <xf numFmtId="0" fontId="17" fillId="0" borderId="1" xfId="3" applyFont="1" applyBorder="1" applyAlignment="1">
      <alignment horizontal="left" vertical="center" wrapText="1"/>
    </xf>
    <xf numFmtId="0" fontId="20" fillId="9" borderId="0" xfId="2" applyFont="1" applyFill="1" applyAlignment="1">
      <alignment horizontal="left" vertical="center" wrapText="1"/>
    </xf>
    <xf numFmtId="0" fontId="17" fillId="0" borderId="0" xfId="2" applyFont="1" applyAlignment="1">
      <alignment horizontal="left" vertical="center" wrapText="1"/>
    </xf>
    <xf numFmtId="2" fontId="17" fillId="0" borderId="0" xfId="2" applyNumberFormat="1" applyFont="1" applyAlignment="1">
      <alignment horizontal="left" vertical="center" wrapText="1"/>
    </xf>
    <xf numFmtId="1" fontId="17" fillId="0" borderId="0" xfId="2" applyNumberFormat="1" applyFont="1" applyAlignment="1">
      <alignment horizontal="left" vertical="center" wrapText="1"/>
    </xf>
    <xf numFmtId="0" fontId="17" fillId="0" borderId="8" xfId="2" applyFont="1" applyBorder="1" applyAlignment="1">
      <alignment horizontal="left" vertical="center" wrapText="1"/>
    </xf>
    <xf numFmtId="164" fontId="17" fillId="0" borderId="0" xfId="2" applyNumberFormat="1" applyFont="1" applyAlignment="1">
      <alignment horizontal="left" vertical="center" wrapText="1"/>
    </xf>
    <xf numFmtId="1" fontId="20" fillId="0" borderId="0" xfId="2" applyNumberFormat="1" applyFont="1" applyAlignment="1">
      <alignment horizontal="left" vertical="center" wrapText="1"/>
    </xf>
    <xf numFmtId="0" fontId="17" fillId="0" borderId="1" xfId="2" applyFont="1" applyBorder="1" applyAlignment="1">
      <alignment horizontal="left" vertical="center" wrapText="1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164" fontId="23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justify" vertical="center"/>
    </xf>
    <xf numFmtId="1" fontId="17" fillId="0" borderId="0" xfId="4" applyNumberFormat="1" applyFont="1" applyAlignment="1">
      <alignment horizontal="center" vertical="center"/>
    </xf>
    <xf numFmtId="2" fontId="17" fillId="0" borderId="0" xfId="4" applyNumberFormat="1" applyFont="1" applyAlignment="1">
      <alignment horizontal="center" vertical="center"/>
    </xf>
    <xf numFmtId="166" fontId="17" fillId="0" borderId="0" xfId="4" applyNumberFormat="1" applyFont="1" applyAlignment="1">
      <alignment horizontal="center" vertical="center"/>
    </xf>
    <xf numFmtId="2" fontId="17" fillId="0" borderId="1" xfId="5" applyNumberFormat="1" applyFont="1" applyBorder="1" applyAlignment="1">
      <alignment horizontal="center" vertical="center" wrapText="1"/>
    </xf>
    <xf numFmtId="2" fontId="27" fillId="0" borderId="10" xfId="5" applyNumberFormat="1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" fontId="0" fillId="9" borderId="0" xfId="0" applyNumberFormat="1" applyFill="1" applyAlignment="1">
      <alignment horizontal="center" vertical="center"/>
    </xf>
    <xf numFmtId="166" fontId="0" fillId="9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1" fontId="17" fillId="9" borderId="0" xfId="4" applyNumberFormat="1" applyFont="1" applyFill="1" applyAlignment="1">
      <alignment horizontal="center" vertical="center"/>
    </xf>
    <xf numFmtId="166" fontId="17" fillId="9" borderId="0" xfId="4" applyNumberFormat="1" applyFont="1" applyFill="1" applyAlignment="1">
      <alignment horizontal="center" vertical="center"/>
    </xf>
    <xf numFmtId="2" fontId="17" fillId="9" borderId="0" xfId="4" applyNumberFormat="1" applyFont="1" applyFill="1" applyAlignment="1">
      <alignment horizontal="center" vertical="center"/>
    </xf>
    <xf numFmtId="1" fontId="17" fillId="0" borderId="8" xfId="4" applyNumberFormat="1" applyFont="1" applyBorder="1" applyAlignment="1">
      <alignment horizontal="center" vertical="center"/>
    </xf>
    <xf numFmtId="166" fontId="17" fillId="0" borderId="8" xfId="4" applyNumberFormat="1" applyFont="1" applyBorder="1" applyAlignment="1">
      <alignment horizontal="center" vertical="center"/>
    </xf>
    <xf numFmtId="2" fontId="17" fillId="0" borderId="8" xfId="4" applyNumberFormat="1" applyFont="1" applyBorder="1" applyAlignment="1">
      <alignment horizontal="center" vertical="center"/>
    </xf>
    <xf numFmtId="1" fontId="17" fillId="0" borderId="1" xfId="4" applyNumberFormat="1" applyFont="1" applyBorder="1" applyAlignment="1">
      <alignment horizontal="center" vertical="center"/>
    </xf>
    <xf numFmtId="166" fontId="17" fillId="0" borderId="1" xfId="4" applyNumberFormat="1" applyFont="1" applyBorder="1" applyAlignment="1">
      <alignment horizontal="center" vertical="center"/>
    </xf>
    <xf numFmtId="2" fontId="17" fillId="0" borderId="1" xfId="4" applyNumberFormat="1" applyFont="1" applyBorder="1" applyAlignment="1">
      <alignment horizontal="center" vertical="center"/>
    </xf>
    <xf numFmtId="166" fontId="20" fillId="0" borderId="0" xfId="4" applyNumberFormat="1" applyFont="1" applyAlignment="1">
      <alignment horizontal="center" vertical="center"/>
    </xf>
    <xf numFmtId="165" fontId="20" fillId="0" borderId="0" xfId="4" applyNumberFormat="1" applyFont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0" xfId="0" applyFont="1" applyAlignment="1">
      <alignment horizontal="center"/>
    </xf>
    <xf numFmtId="1" fontId="30" fillId="11" borderId="13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/>
    </xf>
    <xf numFmtId="1" fontId="21" fillId="0" borderId="11" xfId="0" applyNumberFormat="1" applyFont="1" applyBorder="1" applyAlignment="1">
      <alignment horizontal="center"/>
    </xf>
    <xf numFmtId="164" fontId="21" fillId="0" borderId="1" xfId="0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 wrapText="1"/>
    </xf>
    <xf numFmtId="2" fontId="20" fillId="0" borderId="7" xfId="6" applyNumberFormat="1" applyFont="1" applyBorder="1" applyAlignment="1">
      <alignment horizontal="left" vertical="center" wrapText="1"/>
    </xf>
    <xf numFmtId="2" fontId="20" fillId="0" borderId="7" xfId="6" applyNumberFormat="1" applyFont="1" applyBorder="1" applyAlignment="1">
      <alignment horizontal="center" vertical="center" wrapText="1"/>
    </xf>
    <xf numFmtId="2" fontId="31" fillId="0" borderId="7" xfId="6" applyNumberFormat="1" applyFont="1" applyBorder="1" applyAlignment="1">
      <alignment horizontal="center" vertical="center" wrapText="1"/>
    </xf>
    <xf numFmtId="2" fontId="17" fillId="0" borderId="0" xfId="6" applyNumberFormat="1" applyFont="1" applyAlignment="1">
      <alignment horizontal="left" vertical="center" wrapText="1"/>
    </xf>
    <xf numFmtId="2" fontId="17" fillId="0" borderId="0" xfId="7" applyNumberFormat="1" applyFont="1" applyAlignment="1">
      <alignment horizontal="center" vertical="center"/>
    </xf>
    <xf numFmtId="2" fontId="17" fillId="0" borderId="0" xfId="6" applyNumberFormat="1" applyFont="1" applyAlignment="1">
      <alignment horizontal="center" vertical="center"/>
    </xf>
    <xf numFmtId="166" fontId="17" fillId="0" borderId="0" xfId="7" applyNumberFormat="1" applyFont="1" applyAlignment="1">
      <alignment horizontal="center" vertical="center"/>
    </xf>
    <xf numFmtId="165" fontId="17" fillId="0" borderId="0" xfId="7" applyNumberFormat="1" applyFont="1" applyAlignment="1">
      <alignment horizontal="center" vertical="center"/>
    </xf>
    <xf numFmtId="166" fontId="17" fillId="0" borderId="1" xfId="7" applyNumberFormat="1" applyFont="1" applyBorder="1" applyAlignment="1">
      <alignment horizontal="center" vertical="center"/>
    </xf>
    <xf numFmtId="2" fontId="17" fillId="0" borderId="1" xfId="6" applyNumberFormat="1" applyFont="1" applyBorder="1" applyAlignment="1">
      <alignment horizontal="center" vertical="center"/>
    </xf>
    <xf numFmtId="2" fontId="17" fillId="0" borderId="1" xfId="7" applyNumberFormat="1" applyFont="1" applyBorder="1" applyAlignment="1">
      <alignment horizontal="center" vertical="center"/>
    </xf>
    <xf numFmtId="49" fontId="2" fillId="12" borderId="3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49" fontId="6" fillId="12" borderId="1" xfId="0" applyNumberFormat="1" applyFont="1" applyFill="1" applyBorder="1" applyAlignment="1">
      <alignment horizontal="center" vertical="center" wrapText="1"/>
    </xf>
    <xf numFmtId="1" fontId="17" fillId="0" borderId="0" xfId="7" applyNumberFormat="1" applyFont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21" fillId="0" borderId="1" xfId="0" applyFont="1" applyBorder="1" applyAlignment="1">
      <alignment horizontal="center" vertical="center"/>
    </xf>
    <xf numFmtId="1" fontId="22" fillId="10" borderId="11" xfId="0" applyNumberFormat="1" applyFont="1" applyFill="1" applyBorder="1" applyAlignment="1">
      <alignment horizontal="center" vertical="center" wrapText="1"/>
    </xf>
    <xf numFmtId="49" fontId="29" fillId="4" borderId="1" xfId="0" applyNumberFormat="1" applyFont="1" applyFill="1" applyBorder="1" applyAlignment="1">
      <alignment horizontal="center" vertical="center" wrapText="1"/>
    </xf>
    <xf numFmtId="1" fontId="22" fillId="0" borderId="4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164" fontId="21" fillId="3" borderId="0" xfId="0" applyNumberFormat="1" applyFont="1" applyFill="1" applyAlignment="1">
      <alignment horizontal="center" vertical="center"/>
    </xf>
    <xf numFmtId="49" fontId="29" fillId="4" borderId="12" xfId="0" applyNumberFormat="1" applyFont="1" applyFill="1" applyBorder="1" applyAlignment="1">
      <alignment horizontal="center" vertical="center" wrapText="1"/>
    </xf>
    <xf numFmtId="164" fontId="23" fillId="0" borderId="1" xfId="2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167" fontId="17" fillId="0" borderId="16" xfId="2" applyNumberFormat="1" applyFont="1" applyBorder="1" applyAlignment="1">
      <alignment horizontal="center" vertical="center"/>
    </xf>
    <xf numFmtId="2" fontId="17" fillId="0" borderId="16" xfId="2" applyNumberFormat="1" applyFont="1" applyBorder="1" applyAlignment="1">
      <alignment horizontal="center" vertical="center"/>
    </xf>
    <xf numFmtId="0" fontId="17" fillId="0" borderId="16" xfId="2" applyFont="1" applyBorder="1" applyAlignment="1">
      <alignment horizontal="center" vertical="center"/>
    </xf>
    <xf numFmtId="164" fontId="17" fillId="0" borderId="16" xfId="2" applyNumberFormat="1" applyFont="1" applyBorder="1" applyAlignment="1">
      <alignment horizontal="right" vertical="center"/>
    </xf>
    <xf numFmtId="164" fontId="17" fillId="0" borderId="16" xfId="2" applyNumberFormat="1" applyFont="1" applyBorder="1" applyAlignment="1">
      <alignment horizontal="left" vertical="center" wrapText="1"/>
    </xf>
    <xf numFmtId="164" fontId="17" fillId="0" borderId="16" xfId="2" applyNumberFormat="1" applyFont="1" applyBorder="1" applyAlignment="1">
      <alignment horizontal="left" vertical="center"/>
    </xf>
    <xf numFmtId="1" fontId="17" fillId="0" borderId="16" xfId="2" applyNumberFormat="1" applyFont="1" applyBorder="1" applyAlignment="1">
      <alignment horizontal="center" vertical="center"/>
    </xf>
    <xf numFmtId="49" fontId="29" fillId="4" borderId="3" xfId="0" applyNumberFormat="1" applyFont="1" applyFill="1" applyBorder="1" applyAlignment="1">
      <alignment horizontal="center" vertical="center" wrapText="1"/>
    </xf>
    <xf numFmtId="164" fontId="21" fillId="0" borderId="2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5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0" fontId="21" fillId="0" borderId="0" xfId="0" applyFont="1" applyAlignment="1">
      <alignment horizontal="justify" vertical="justify" wrapText="1"/>
    </xf>
    <xf numFmtId="168" fontId="17" fillId="0" borderId="0" xfId="2" applyNumberFormat="1" applyFont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2" fontId="17" fillId="0" borderId="9" xfId="5" applyNumberFormat="1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2" fontId="26" fillId="0" borderId="9" xfId="5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2" fontId="19" fillId="0" borderId="0" xfId="6" applyNumberFormat="1" applyFont="1" applyAlignment="1">
      <alignment horizontal="justify" vertical="justify" wrapText="1"/>
    </xf>
  </cellXfs>
  <cellStyles count="8">
    <cellStyle name="Normal" xfId="0" builtinId="0"/>
    <cellStyle name="Normal_Planilha1_1" xfId="2" xr:uid="{00000000-0005-0000-0000-000003000000}"/>
    <cellStyle name="Normal_Planilha13" xfId="6" xr:uid="{00000000-0005-0000-0000-000004000000}"/>
    <cellStyle name="Normal_Planilha5" xfId="3" xr:uid="{00000000-0005-0000-0000-000005000000}"/>
    <cellStyle name="Normal_Planilha7" xfId="5" xr:uid="{00000000-0005-0000-0000-000007000000}"/>
    <cellStyle name="Normal_Tab 2." xfId="4" xr:uid="{00000000-0005-0000-0000-000009000000}"/>
    <cellStyle name="Normal_Tab 3." xfId="7" xr:uid="{00000000-0005-0000-0000-00000A000000}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0736509395211"/>
          <c:y val="4.7443774353667804E-2"/>
          <c:w val="0.84494524391347636"/>
          <c:h val="0.7781447713772620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12700">
                <a:prstDash val="solid"/>
              </a:ln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'Gráf Dispersão'!$B$3:$B$71</c:f>
              <c:numCache>
                <c:formatCode>0.0</c:formatCode>
                <c:ptCount val="69"/>
                <c:pt idx="0">
                  <c:v>30</c:v>
                </c:pt>
                <c:pt idx="1">
                  <c:v>35.6</c:v>
                </c:pt>
                <c:pt idx="2">
                  <c:v>32.6</c:v>
                </c:pt>
                <c:pt idx="3">
                  <c:v>16.8</c:v>
                </c:pt>
                <c:pt idx="4">
                  <c:v>19.8</c:v>
                </c:pt>
                <c:pt idx="5">
                  <c:v>13.6</c:v>
                </c:pt>
                <c:pt idx="6">
                  <c:v>21.8</c:v>
                </c:pt>
                <c:pt idx="7">
                  <c:v>20.2</c:v>
                </c:pt>
                <c:pt idx="9">
                  <c:v>25.6</c:v>
                </c:pt>
                <c:pt idx="10">
                  <c:v>26.8</c:v>
                </c:pt>
                <c:pt idx="11">
                  <c:v>19.399999999999999</c:v>
                </c:pt>
                <c:pt idx="12">
                  <c:v>9.1999999999999993</c:v>
                </c:pt>
                <c:pt idx="13">
                  <c:v>12.6</c:v>
                </c:pt>
                <c:pt idx="14">
                  <c:v>23.6</c:v>
                </c:pt>
                <c:pt idx="15">
                  <c:v>39.200000000000003</c:v>
                </c:pt>
                <c:pt idx="16">
                  <c:v>17.2</c:v>
                </c:pt>
                <c:pt idx="17">
                  <c:v>18.2</c:v>
                </c:pt>
                <c:pt idx="18">
                  <c:v>13.2</c:v>
                </c:pt>
                <c:pt idx="19">
                  <c:v>22.6</c:v>
                </c:pt>
                <c:pt idx="20">
                  <c:v>27.8</c:v>
                </c:pt>
                <c:pt idx="21">
                  <c:v>23.2</c:v>
                </c:pt>
                <c:pt idx="22">
                  <c:v>33.4</c:v>
                </c:pt>
                <c:pt idx="23">
                  <c:v>16.8</c:v>
                </c:pt>
                <c:pt idx="24">
                  <c:v>26.2</c:v>
                </c:pt>
                <c:pt idx="25">
                  <c:v>26</c:v>
                </c:pt>
                <c:pt idx="26">
                  <c:v>8.1999999999999993</c:v>
                </c:pt>
                <c:pt idx="27">
                  <c:v>19.399999999999999</c:v>
                </c:pt>
                <c:pt idx="28">
                  <c:v>15</c:v>
                </c:pt>
                <c:pt idx="30">
                  <c:v>29.8</c:v>
                </c:pt>
                <c:pt idx="31">
                  <c:v>6.4</c:v>
                </c:pt>
                <c:pt idx="32">
                  <c:v>25.3</c:v>
                </c:pt>
                <c:pt idx="33">
                  <c:v>23</c:v>
                </c:pt>
                <c:pt idx="34">
                  <c:v>28.2</c:v>
                </c:pt>
                <c:pt idx="35">
                  <c:v>20</c:v>
                </c:pt>
                <c:pt idx="36">
                  <c:v>20</c:v>
                </c:pt>
                <c:pt idx="37">
                  <c:v>13.8</c:v>
                </c:pt>
                <c:pt idx="38">
                  <c:v>23.6</c:v>
                </c:pt>
                <c:pt idx="39">
                  <c:v>16.8</c:v>
                </c:pt>
                <c:pt idx="40">
                  <c:v>26.6</c:v>
                </c:pt>
                <c:pt idx="41">
                  <c:v>19.600000000000001</c:v>
                </c:pt>
                <c:pt idx="42">
                  <c:v>21.8</c:v>
                </c:pt>
                <c:pt idx="43">
                  <c:v>26.6</c:v>
                </c:pt>
                <c:pt idx="44">
                  <c:v>25.4</c:v>
                </c:pt>
                <c:pt idx="45">
                  <c:v>17.8</c:v>
                </c:pt>
                <c:pt idx="46">
                  <c:v>13.2</c:v>
                </c:pt>
                <c:pt idx="47">
                  <c:v>31.8</c:v>
                </c:pt>
                <c:pt idx="48">
                  <c:v>24.2</c:v>
                </c:pt>
                <c:pt idx="49">
                  <c:v>21.8</c:v>
                </c:pt>
                <c:pt idx="50">
                  <c:v>16.600000000000001</c:v>
                </c:pt>
                <c:pt idx="51">
                  <c:v>11.8</c:v>
                </c:pt>
                <c:pt idx="52">
                  <c:v>16.600000000000001</c:v>
                </c:pt>
                <c:pt idx="53">
                  <c:v>18</c:v>
                </c:pt>
                <c:pt idx="54">
                  <c:v>22.1</c:v>
                </c:pt>
                <c:pt idx="55">
                  <c:v>9.8000000000000007</c:v>
                </c:pt>
                <c:pt idx="56">
                  <c:v>15.8</c:v>
                </c:pt>
                <c:pt idx="57">
                  <c:v>33.200000000000003</c:v>
                </c:pt>
                <c:pt idx="58">
                  <c:v>26.8</c:v>
                </c:pt>
                <c:pt idx="59">
                  <c:v>22.5</c:v>
                </c:pt>
                <c:pt idx="60">
                  <c:v>20.399999999999999</c:v>
                </c:pt>
                <c:pt idx="61">
                  <c:v>23.6</c:v>
                </c:pt>
                <c:pt idx="62">
                  <c:v>9.4</c:v>
                </c:pt>
                <c:pt idx="63">
                  <c:v>34.200000000000003</c:v>
                </c:pt>
                <c:pt idx="64">
                  <c:v>16.399999999999999</c:v>
                </c:pt>
                <c:pt idx="65">
                  <c:v>25.8</c:v>
                </c:pt>
                <c:pt idx="66">
                  <c:v>25.5</c:v>
                </c:pt>
                <c:pt idx="67">
                  <c:v>15.6</c:v>
                </c:pt>
                <c:pt idx="68">
                  <c:v>20.2</c:v>
                </c:pt>
              </c:numCache>
            </c:numRef>
          </c:xVal>
          <c:yVal>
            <c:numRef>
              <c:f>'Gráf Dispersão'!$A$3:$A$71</c:f>
              <c:numCache>
                <c:formatCode>0</c:formatCode>
                <c:ptCount val="69"/>
                <c:pt idx="0">
                  <c:v>632</c:v>
                </c:pt>
                <c:pt idx="1">
                  <c:v>487</c:v>
                </c:pt>
                <c:pt idx="2">
                  <c:v>493</c:v>
                </c:pt>
                <c:pt idx="3">
                  <c:v>399</c:v>
                </c:pt>
                <c:pt idx="4">
                  <c:v>524</c:v>
                </c:pt>
                <c:pt idx="5">
                  <c:v>476</c:v>
                </c:pt>
                <c:pt idx="6">
                  <c:v>523</c:v>
                </c:pt>
                <c:pt idx="7">
                  <c:v>420</c:v>
                </c:pt>
                <c:pt idx="8">
                  <c:v>450</c:v>
                </c:pt>
                <c:pt idx="9">
                  <c:v>519</c:v>
                </c:pt>
                <c:pt idx="10">
                  <c:v>479</c:v>
                </c:pt>
                <c:pt idx="11">
                  <c:v>540</c:v>
                </c:pt>
                <c:pt idx="12">
                  <c:v>437</c:v>
                </c:pt>
                <c:pt idx="13">
                  <c:v>452</c:v>
                </c:pt>
                <c:pt idx="14">
                  <c:v>497</c:v>
                </c:pt>
                <c:pt idx="15">
                  <c:v>528</c:v>
                </c:pt>
                <c:pt idx="16">
                  <c:v>300</c:v>
                </c:pt>
                <c:pt idx="17">
                  <c:v>482</c:v>
                </c:pt>
                <c:pt idx="18">
                  <c:v>447</c:v>
                </c:pt>
                <c:pt idx="19">
                  <c:v>426</c:v>
                </c:pt>
                <c:pt idx="20">
                  <c:v>392</c:v>
                </c:pt>
                <c:pt idx="21">
                  <c:v>535</c:v>
                </c:pt>
                <c:pt idx="22">
                  <c:v>549</c:v>
                </c:pt>
                <c:pt idx="23">
                  <c:v>452</c:v>
                </c:pt>
                <c:pt idx="24">
                  <c:v>451</c:v>
                </c:pt>
                <c:pt idx="25">
                  <c:v>375</c:v>
                </c:pt>
                <c:pt idx="26">
                  <c:v>364</c:v>
                </c:pt>
                <c:pt idx="27">
                  <c:v>422</c:v>
                </c:pt>
                <c:pt idx="28">
                  <c:v>438</c:v>
                </c:pt>
                <c:pt idx="29">
                  <c:v>535</c:v>
                </c:pt>
                <c:pt idx="30">
                  <c:v>498</c:v>
                </c:pt>
                <c:pt idx="31">
                  <c:v>264</c:v>
                </c:pt>
                <c:pt idx="32">
                  <c:v>477</c:v>
                </c:pt>
                <c:pt idx="33">
                  <c:v>435</c:v>
                </c:pt>
                <c:pt idx="34">
                  <c:v>542</c:v>
                </c:pt>
                <c:pt idx="35">
                  <c:v>509</c:v>
                </c:pt>
                <c:pt idx="36">
                  <c:v>267</c:v>
                </c:pt>
                <c:pt idx="37">
                  <c:v>352</c:v>
                </c:pt>
                <c:pt idx="38">
                  <c:v>444</c:v>
                </c:pt>
                <c:pt idx="39">
                  <c:v>432</c:v>
                </c:pt>
                <c:pt idx="40">
                  <c:v>480</c:v>
                </c:pt>
                <c:pt idx="41">
                  <c:v>268</c:v>
                </c:pt>
                <c:pt idx="42">
                  <c:v>438</c:v>
                </c:pt>
                <c:pt idx="43">
                  <c:v>345</c:v>
                </c:pt>
                <c:pt idx="44">
                  <c:v>510</c:v>
                </c:pt>
                <c:pt idx="45">
                  <c:v>330</c:v>
                </c:pt>
                <c:pt idx="46">
                  <c:v>391</c:v>
                </c:pt>
                <c:pt idx="47">
                  <c:v>440</c:v>
                </c:pt>
                <c:pt idx="48">
                  <c:v>398</c:v>
                </c:pt>
                <c:pt idx="49">
                  <c:v>479</c:v>
                </c:pt>
                <c:pt idx="50">
                  <c:v>375</c:v>
                </c:pt>
                <c:pt idx="51">
                  <c:v>360</c:v>
                </c:pt>
                <c:pt idx="52">
                  <c:v>370</c:v>
                </c:pt>
                <c:pt idx="53">
                  <c:v>592</c:v>
                </c:pt>
                <c:pt idx="54">
                  <c:v>532</c:v>
                </c:pt>
                <c:pt idx="55">
                  <c:v>384</c:v>
                </c:pt>
                <c:pt idx="56">
                  <c:v>465</c:v>
                </c:pt>
                <c:pt idx="57">
                  <c:v>427</c:v>
                </c:pt>
                <c:pt idx="58">
                  <c:v>470</c:v>
                </c:pt>
                <c:pt idx="59">
                  <c:v>585</c:v>
                </c:pt>
                <c:pt idx="60">
                  <c:v>331</c:v>
                </c:pt>
                <c:pt idx="61">
                  <c:v>416</c:v>
                </c:pt>
                <c:pt idx="62">
                  <c:v>458</c:v>
                </c:pt>
                <c:pt idx="63">
                  <c:v>495</c:v>
                </c:pt>
                <c:pt idx="64">
                  <c:v>350</c:v>
                </c:pt>
                <c:pt idx="65">
                  <c:v>533</c:v>
                </c:pt>
                <c:pt idx="66">
                  <c:v>382</c:v>
                </c:pt>
                <c:pt idx="67">
                  <c:v>498</c:v>
                </c:pt>
                <c:pt idx="6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A-49A6-B395-BE920520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263920"/>
        <c:axId val="973245792"/>
      </c:scatterChart>
      <c:valAx>
        <c:axId val="850263920"/>
        <c:scaling>
          <c:orientation val="minMax"/>
          <c:max val="4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pt-BR" sz="1200" b="1" i="0" u="none" strike="noStrike" baseline="0">
                    <a:effectLst/>
                  </a:rPr>
                  <a:t>Força quadríceps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485110034322633"/>
              <c:y val="0.91936819794631786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973245792"/>
        <c:crossesAt val="-10"/>
        <c:crossBetween val="midCat"/>
        <c:majorUnit val="5"/>
      </c:valAx>
      <c:valAx>
        <c:axId val="973245792"/>
        <c:scaling>
          <c:orientation val="minMax"/>
          <c:max val="650"/>
          <c:min val="2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 i="0" u="none" strike="noStrike" baseline="0">
                    <a:effectLst/>
                  </a:rPr>
                  <a:t>DTC6' (metros)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1.0357011076533206E-2"/>
              <c:y val="0.289224774738209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850263920"/>
        <c:crosses val="autoZero"/>
        <c:crossBetween val="midCat"/>
        <c:majorUnit val="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0736509395211"/>
          <c:y val="4.7443774353667804E-2"/>
          <c:w val="0.84494524391347636"/>
          <c:h val="0.7781447713772620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12700">
                <a:prstDash val="solid"/>
              </a:ln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'Gráf Dispersão'!$D$3:$D$71</c:f>
              <c:numCache>
                <c:formatCode>0.0</c:formatCode>
                <c:ptCount val="69"/>
                <c:pt idx="0">
                  <c:v>117</c:v>
                </c:pt>
                <c:pt idx="1">
                  <c:v>45</c:v>
                </c:pt>
                <c:pt idx="2">
                  <c:v>89</c:v>
                </c:pt>
                <c:pt idx="3">
                  <c:v>54</c:v>
                </c:pt>
                <c:pt idx="4">
                  <c:v>62</c:v>
                </c:pt>
                <c:pt idx="5">
                  <c:v>93</c:v>
                </c:pt>
                <c:pt idx="6">
                  <c:v>84</c:v>
                </c:pt>
                <c:pt idx="7">
                  <c:v>117</c:v>
                </c:pt>
                <c:pt idx="8">
                  <c:v>31</c:v>
                </c:pt>
                <c:pt idx="9">
                  <c:v>31</c:v>
                </c:pt>
                <c:pt idx="10">
                  <c:v>89</c:v>
                </c:pt>
                <c:pt idx="11">
                  <c:v>58</c:v>
                </c:pt>
                <c:pt idx="13">
                  <c:v>71</c:v>
                </c:pt>
                <c:pt idx="14">
                  <c:v>60</c:v>
                </c:pt>
                <c:pt idx="15">
                  <c:v>93</c:v>
                </c:pt>
                <c:pt idx="16">
                  <c:v>62</c:v>
                </c:pt>
                <c:pt idx="17">
                  <c:v>82</c:v>
                </c:pt>
                <c:pt idx="18">
                  <c:v>129</c:v>
                </c:pt>
                <c:pt idx="19">
                  <c:v>53</c:v>
                </c:pt>
                <c:pt idx="20">
                  <c:v>71</c:v>
                </c:pt>
                <c:pt idx="21">
                  <c:v>74</c:v>
                </c:pt>
                <c:pt idx="22">
                  <c:v>96</c:v>
                </c:pt>
                <c:pt idx="23">
                  <c:v>86</c:v>
                </c:pt>
                <c:pt idx="24">
                  <c:v>60</c:v>
                </c:pt>
                <c:pt idx="25">
                  <c:v>40</c:v>
                </c:pt>
                <c:pt idx="26">
                  <c:v>63</c:v>
                </c:pt>
                <c:pt idx="27">
                  <c:v>123</c:v>
                </c:pt>
                <c:pt idx="28">
                  <c:v>52</c:v>
                </c:pt>
                <c:pt idx="29">
                  <c:v>129</c:v>
                </c:pt>
                <c:pt idx="30">
                  <c:v>116</c:v>
                </c:pt>
                <c:pt idx="31">
                  <c:v>77</c:v>
                </c:pt>
                <c:pt idx="32">
                  <c:v>91</c:v>
                </c:pt>
                <c:pt idx="33">
                  <c:v>68</c:v>
                </c:pt>
                <c:pt idx="34">
                  <c:v>118</c:v>
                </c:pt>
                <c:pt idx="35">
                  <c:v>109</c:v>
                </c:pt>
                <c:pt idx="36">
                  <c:v>48</c:v>
                </c:pt>
                <c:pt idx="37">
                  <c:v>62</c:v>
                </c:pt>
                <c:pt idx="38">
                  <c:v>112</c:v>
                </c:pt>
                <c:pt idx="39">
                  <c:v>62</c:v>
                </c:pt>
                <c:pt idx="40">
                  <c:v>97</c:v>
                </c:pt>
                <c:pt idx="41">
                  <c:v>13</c:v>
                </c:pt>
                <c:pt idx="42">
                  <c:v>109</c:v>
                </c:pt>
                <c:pt idx="43">
                  <c:v>49</c:v>
                </c:pt>
                <c:pt idx="44">
                  <c:v>76</c:v>
                </c:pt>
                <c:pt idx="45">
                  <c:v>49</c:v>
                </c:pt>
                <c:pt idx="46">
                  <c:v>85</c:v>
                </c:pt>
                <c:pt idx="47">
                  <c:v>108</c:v>
                </c:pt>
                <c:pt idx="48">
                  <c:v>107</c:v>
                </c:pt>
                <c:pt idx="49">
                  <c:v>81</c:v>
                </c:pt>
                <c:pt idx="50">
                  <c:v>101</c:v>
                </c:pt>
                <c:pt idx="51">
                  <c:v>56</c:v>
                </c:pt>
                <c:pt idx="52">
                  <c:v>96</c:v>
                </c:pt>
                <c:pt idx="53">
                  <c:v>98</c:v>
                </c:pt>
                <c:pt idx="54">
                  <c:v>125</c:v>
                </c:pt>
                <c:pt idx="55">
                  <c:v>66</c:v>
                </c:pt>
                <c:pt idx="56">
                  <c:v>103</c:v>
                </c:pt>
                <c:pt idx="57">
                  <c:v>31</c:v>
                </c:pt>
                <c:pt idx="58">
                  <c:v>108</c:v>
                </c:pt>
                <c:pt idx="59">
                  <c:v>121</c:v>
                </c:pt>
                <c:pt idx="60">
                  <c:v>89</c:v>
                </c:pt>
                <c:pt idx="61">
                  <c:v>133</c:v>
                </c:pt>
                <c:pt idx="62">
                  <c:v>119</c:v>
                </c:pt>
                <c:pt idx="63">
                  <c:v>87</c:v>
                </c:pt>
                <c:pt idx="64">
                  <c:v>131</c:v>
                </c:pt>
                <c:pt idx="65">
                  <c:v>77</c:v>
                </c:pt>
                <c:pt idx="66">
                  <c:v>15</c:v>
                </c:pt>
                <c:pt idx="67">
                  <c:v>67</c:v>
                </c:pt>
                <c:pt idx="68">
                  <c:v>73</c:v>
                </c:pt>
              </c:numCache>
            </c:numRef>
          </c:xVal>
          <c:yVal>
            <c:numRef>
              <c:f>'Gráf Dispersão'!$A$3:$A$71</c:f>
              <c:numCache>
                <c:formatCode>0</c:formatCode>
                <c:ptCount val="69"/>
                <c:pt idx="0">
                  <c:v>632</c:v>
                </c:pt>
                <c:pt idx="1">
                  <c:v>487</c:v>
                </c:pt>
                <c:pt idx="2">
                  <c:v>493</c:v>
                </c:pt>
                <c:pt idx="3">
                  <c:v>399</c:v>
                </c:pt>
                <c:pt idx="4">
                  <c:v>524</c:v>
                </c:pt>
                <c:pt idx="5">
                  <c:v>476</c:v>
                </c:pt>
                <c:pt idx="6">
                  <c:v>523</c:v>
                </c:pt>
                <c:pt idx="7">
                  <c:v>420</c:v>
                </c:pt>
                <c:pt idx="8">
                  <c:v>450</c:v>
                </c:pt>
                <c:pt idx="9">
                  <c:v>519</c:v>
                </c:pt>
                <c:pt idx="10">
                  <c:v>479</c:v>
                </c:pt>
                <c:pt idx="11">
                  <c:v>540</c:v>
                </c:pt>
                <c:pt idx="12">
                  <c:v>437</c:v>
                </c:pt>
                <c:pt idx="13">
                  <c:v>452</c:v>
                </c:pt>
                <c:pt idx="14">
                  <c:v>497</c:v>
                </c:pt>
                <c:pt idx="15">
                  <c:v>528</c:v>
                </c:pt>
                <c:pt idx="16">
                  <c:v>300</c:v>
                </c:pt>
                <c:pt idx="17">
                  <c:v>482</c:v>
                </c:pt>
                <c:pt idx="18">
                  <c:v>447</c:v>
                </c:pt>
                <c:pt idx="19">
                  <c:v>426</c:v>
                </c:pt>
                <c:pt idx="20">
                  <c:v>392</c:v>
                </c:pt>
                <c:pt idx="21">
                  <c:v>535</c:v>
                </c:pt>
                <c:pt idx="22">
                  <c:v>549</c:v>
                </c:pt>
                <c:pt idx="23">
                  <c:v>452</c:v>
                </c:pt>
                <c:pt idx="24">
                  <c:v>451</c:v>
                </c:pt>
                <c:pt idx="25">
                  <c:v>375</c:v>
                </c:pt>
                <c:pt idx="26">
                  <c:v>364</c:v>
                </c:pt>
                <c:pt idx="27">
                  <c:v>422</c:v>
                </c:pt>
                <c:pt idx="28">
                  <c:v>438</c:v>
                </c:pt>
                <c:pt idx="29">
                  <c:v>535</c:v>
                </c:pt>
                <c:pt idx="30">
                  <c:v>498</c:v>
                </c:pt>
                <c:pt idx="31">
                  <c:v>264</c:v>
                </c:pt>
                <c:pt idx="32">
                  <c:v>477</c:v>
                </c:pt>
                <c:pt idx="33">
                  <c:v>435</c:v>
                </c:pt>
                <c:pt idx="34">
                  <c:v>542</c:v>
                </c:pt>
                <c:pt idx="35">
                  <c:v>509</c:v>
                </c:pt>
                <c:pt idx="36">
                  <c:v>267</c:v>
                </c:pt>
                <c:pt idx="37">
                  <c:v>352</c:v>
                </c:pt>
                <c:pt idx="38">
                  <c:v>444</c:v>
                </c:pt>
                <c:pt idx="39">
                  <c:v>432</c:v>
                </c:pt>
                <c:pt idx="40">
                  <c:v>480</c:v>
                </c:pt>
                <c:pt idx="41">
                  <c:v>268</c:v>
                </c:pt>
                <c:pt idx="42">
                  <c:v>438</c:v>
                </c:pt>
                <c:pt idx="43">
                  <c:v>345</c:v>
                </c:pt>
                <c:pt idx="44">
                  <c:v>510</c:v>
                </c:pt>
                <c:pt idx="45">
                  <c:v>330</c:v>
                </c:pt>
                <c:pt idx="46">
                  <c:v>391</c:v>
                </c:pt>
                <c:pt idx="47">
                  <c:v>440</c:v>
                </c:pt>
                <c:pt idx="48">
                  <c:v>398</c:v>
                </c:pt>
                <c:pt idx="49">
                  <c:v>479</c:v>
                </c:pt>
                <c:pt idx="50">
                  <c:v>375</c:v>
                </c:pt>
                <c:pt idx="51">
                  <c:v>360</c:v>
                </c:pt>
                <c:pt idx="52">
                  <c:v>370</c:v>
                </c:pt>
                <c:pt idx="53">
                  <c:v>592</c:v>
                </c:pt>
                <c:pt idx="54">
                  <c:v>532</c:v>
                </c:pt>
                <c:pt idx="55">
                  <c:v>384</c:v>
                </c:pt>
                <c:pt idx="56">
                  <c:v>465</c:v>
                </c:pt>
                <c:pt idx="57">
                  <c:v>427</c:v>
                </c:pt>
                <c:pt idx="58">
                  <c:v>470</c:v>
                </c:pt>
                <c:pt idx="59">
                  <c:v>585</c:v>
                </c:pt>
                <c:pt idx="60">
                  <c:v>331</c:v>
                </c:pt>
                <c:pt idx="61">
                  <c:v>416</c:v>
                </c:pt>
                <c:pt idx="62">
                  <c:v>458</c:v>
                </c:pt>
                <c:pt idx="63">
                  <c:v>495</c:v>
                </c:pt>
                <c:pt idx="64">
                  <c:v>350</c:v>
                </c:pt>
                <c:pt idx="65">
                  <c:v>533</c:v>
                </c:pt>
                <c:pt idx="66">
                  <c:v>382</c:v>
                </c:pt>
                <c:pt idx="67">
                  <c:v>498</c:v>
                </c:pt>
                <c:pt idx="6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D-4253-A032-9C8B18C2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250688"/>
        <c:axId val="973243072"/>
      </c:scatterChart>
      <c:valAx>
        <c:axId val="973250688"/>
        <c:scaling>
          <c:orientation val="minMax"/>
          <c:max val="1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pt-BR" sz="1200" b="1" i="0" u="none" strike="noStrike" baseline="0">
                    <a:effectLst/>
                  </a:rPr>
                  <a:t>DLCo (% predito)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4409013694243127"/>
              <c:y val="0.9166799253186135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973243072"/>
        <c:crossesAt val="-10"/>
        <c:crossBetween val="midCat"/>
        <c:majorUnit val="15"/>
      </c:valAx>
      <c:valAx>
        <c:axId val="973243072"/>
        <c:scaling>
          <c:orientation val="minMax"/>
          <c:max val="650"/>
          <c:min val="2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 i="0" u="none" strike="noStrike" baseline="0">
                    <a:effectLst/>
                  </a:rPr>
                  <a:t>DTC6' (metros)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8.1465778316172025E-3"/>
              <c:y val="0.289224774738209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973250688"/>
        <c:crosses val="autoZero"/>
        <c:crossBetween val="midCat"/>
        <c:majorUnit val="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0736509395211"/>
          <c:y val="4.7443774353667804E-2"/>
          <c:w val="0.84494524391347636"/>
          <c:h val="0.7781447713772620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12700">
                <a:prstDash val="solid"/>
              </a:ln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'Gráf Dispersão'!$E$3:$E$71</c:f>
              <c:numCache>
                <c:formatCode>General</c:formatCode>
                <c:ptCount val="69"/>
                <c:pt idx="0">
                  <c:v>26</c:v>
                </c:pt>
                <c:pt idx="1">
                  <c:v>63</c:v>
                </c:pt>
                <c:pt idx="2">
                  <c:v>32</c:v>
                </c:pt>
                <c:pt idx="3">
                  <c:v>74</c:v>
                </c:pt>
                <c:pt idx="4">
                  <c:v>42</c:v>
                </c:pt>
                <c:pt idx="5">
                  <c:v>48</c:v>
                </c:pt>
                <c:pt idx="6">
                  <c:v>27</c:v>
                </c:pt>
                <c:pt idx="7">
                  <c:v>37</c:v>
                </c:pt>
                <c:pt idx="8">
                  <c:v>55</c:v>
                </c:pt>
                <c:pt idx="9">
                  <c:v>49</c:v>
                </c:pt>
                <c:pt idx="10">
                  <c:v>27</c:v>
                </c:pt>
                <c:pt idx="11">
                  <c:v>30</c:v>
                </c:pt>
                <c:pt idx="12">
                  <c:v>55</c:v>
                </c:pt>
                <c:pt idx="13">
                  <c:v>67</c:v>
                </c:pt>
                <c:pt idx="14">
                  <c:v>52</c:v>
                </c:pt>
                <c:pt idx="15">
                  <c:v>41</c:v>
                </c:pt>
                <c:pt idx="16">
                  <c:v>67</c:v>
                </c:pt>
                <c:pt idx="17">
                  <c:v>50</c:v>
                </c:pt>
                <c:pt idx="18">
                  <c:v>66</c:v>
                </c:pt>
                <c:pt idx="19">
                  <c:v>53</c:v>
                </c:pt>
                <c:pt idx="20">
                  <c:v>63</c:v>
                </c:pt>
                <c:pt idx="21">
                  <c:v>41</c:v>
                </c:pt>
                <c:pt idx="22">
                  <c:v>69</c:v>
                </c:pt>
                <c:pt idx="23">
                  <c:v>61</c:v>
                </c:pt>
                <c:pt idx="24">
                  <c:v>49</c:v>
                </c:pt>
                <c:pt idx="25">
                  <c:v>36</c:v>
                </c:pt>
                <c:pt idx="26">
                  <c:v>74</c:v>
                </c:pt>
                <c:pt idx="27">
                  <c:v>54</c:v>
                </c:pt>
                <c:pt idx="28">
                  <c:v>47</c:v>
                </c:pt>
                <c:pt idx="29">
                  <c:v>58</c:v>
                </c:pt>
                <c:pt idx="30">
                  <c:v>39</c:v>
                </c:pt>
                <c:pt idx="31">
                  <c:v>71</c:v>
                </c:pt>
                <c:pt idx="32">
                  <c:v>57</c:v>
                </c:pt>
                <c:pt idx="33">
                  <c:v>39</c:v>
                </c:pt>
                <c:pt idx="34">
                  <c:v>26</c:v>
                </c:pt>
                <c:pt idx="35">
                  <c:v>58</c:v>
                </c:pt>
                <c:pt idx="36">
                  <c:v>65</c:v>
                </c:pt>
                <c:pt idx="37">
                  <c:v>42</c:v>
                </c:pt>
                <c:pt idx="38">
                  <c:v>53</c:v>
                </c:pt>
                <c:pt idx="39">
                  <c:v>61</c:v>
                </c:pt>
                <c:pt idx="40">
                  <c:v>66</c:v>
                </c:pt>
                <c:pt idx="41">
                  <c:v>64</c:v>
                </c:pt>
                <c:pt idx="42">
                  <c:v>58</c:v>
                </c:pt>
                <c:pt idx="43">
                  <c:v>39</c:v>
                </c:pt>
                <c:pt idx="44">
                  <c:v>57</c:v>
                </c:pt>
                <c:pt idx="45">
                  <c:v>48</c:v>
                </c:pt>
                <c:pt idx="46">
                  <c:v>37</c:v>
                </c:pt>
                <c:pt idx="47">
                  <c:v>53</c:v>
                </c:pt>
                <c:pt idx="48">
                  <c:v>51</c:v>
                </c:pt>
                <c:pt idx="49">
                  <c:v>66</c:v>
                </c:pt>
                <c:pt idx="50">
                  <c:v>39</c:v>
                </c:pt>
                <c:pt idx="51">
                  <c:v>40</c:v>
                </c:pt>
                <c:pt idx="52">
                  <c:v>60</c:v>
                </c:pt>
                <c:pt idx="53">
                  <c:v>23</c:v>
                </c:pt>
                <c:pt idx="54">
                  <c:v>53</c:v>
                </c:pt>
                <c:pt idx="55">
                  <c:v>34</c:v>
                </c:pt>
                <c:pt idx="56">
                  <c:v>23</c:v>
                </c:pt>
                <c:pt idx="57">
                  <c:v>39</c:v>
                </c:pt>
                <c:pt idx="58">
                  <c:v>33</c:v>
                </c:pt>
                <c:pt idx="59">
                  <c:v>41</c:v>
                </c:pt>
                <c:pt idx="60">
                  <c:v>57</c:v>
                </c:pt>
                <c:pt idx="61">
                  <c:v>54</c:v>
                </c:pt>
                <c:pt idx="62">
                  <c:v>48</c:v>
                </c:pt>
                <c:pt idx="63">
                  <c:v>49</c:v>
                </c:pt>
                <c:pt idx="64">
                  <c:v>54</c:v>
                </c:pt>
                <c:pt idx="65">
                  <c:v>41</c:v>
                </c:pt>
                <c:pt idx="66">
                  <c:v>50</c:v>
                </c:pt>
                <c:pt idx="67">
                  <c:v>50</c:v>
                </c:pt>
                <c:pt idx="68">
                  <c:v>59</c:v>
                </c:pt>
              </c:numCache>
            </c:numRef>
          </c:xVal>
          <c:yVal>
            <c:numRef>
              <c:f>'Gráf Dispersão'!$A$3:$A$71</c:f>
              <c:numCache>
                <c:formatCode>0</c:formatCode>
                <c:ptCount val="69"/>
                <c:pt idx="0">
                  <c:v>632</c:v>
                </c:pt>
                <c:pt idx="1">
                  <c:v>487</c:v>
                </c:pt>
                <c:pt idx="2">
                  <c:v>493</c:v>
                </c:pt>
                <c:pt idx="3">
                  <c:v>399</c:v>
                </c:pt>
                <c:pt idx="4">
                  <c:v>524</c:v>
                </c:pt>
                <c:pt idx="5">
                  <c:v>476</c:v>
                </c:pt>
                <c:pt idx="6">
                  <c:v>523</c:v>
                </c:pt>
                <c:pt idx="7">
                  <c:v>420</c:v>
                </c:pt>
                <c:pt idx="8">
                  <c:v>450</c:v>
                </c:pt>
                <c:pt idx="9">
                  <c:v>519</c:v>
                </c:pt>
                <c:pt idx="10">
                  <c:v>479</c:v>
                </c:pt>
                <c:pt idx="11">
                  <c:v>540</c:v>
                </c:pt>
                <c:pt idx="12">
                  <c:v>437</c:v>
                </c:pt>
                <c:pt idx="13">
                  <c:v>452</c:v>
                </c:pt>
                <c:pt idx="14">
                  <c:v>497</c:v>
                </c:pt>
                <c:pt idx="15">
                  <c:v>528</c:v>
                </c:pt>
                <c:pt idx="16">
                  <c:v>300</c:v>
                </c:pt>
                <c:pt idx="17">
                  <c:v>482</c:v>
                </c:pt>
                <c:pt idx="18">
                  <c:v>447</c:v>
                </c:pt>
                <c:pt idx="19">
                  <c:v>426</c:v>
                </c:pt>
                <c:pt idx="20">
                  <c:v>392</c:v>
                </c:pt>
                <c:pt idx="21">
                  <c:v>535</c:v>
                </c:pt>
                <c:pt idx="22">
                  <c:v>549</c:v>
                </c:pt>
                <c:pt idx="23">
                  <c:v>452</c:v>
                </c:pt>
                <c:pt idx="24">
                  <c:v>451</c:v>
                </c:pt>
                <c:pt idx="25">
                  <c:v>375</c:v>
                </c:pt>
                <c:pt idx="26">
                  <c:v>364</c:v>
                </c:pt>
                <c:pt idx="27">
                  <c:v>422</c:v>
                </c:pt>
                <c:pt idx="28">
                  <c:v>438</c:v>
                </c:pt>
                <c:pt idx="29">
                  <c:v>535</c:v>
                </c:pt>
                <c:pt idx="30">
                  <c:v>498</c:v>
                </c:pt>
                <c:pt idx="31">
                  <c:v>264</c:v>
                </c:pt>
                <c:pt idx="32">
                  <c:v>477</c:v>
                </c:pt>
                <c:pt idx="33">
                  <c:v>435</c:v>
                </c:pt>
                <c:pt idx="34">
                  <c:v>542</c:v>
                </c:pt>
                <c:pt idx="35">
                  <c:v>509</c:v>
                </c:pt>
                <c:pt idx="36">
                  <c:v>267</c:v>
                </c:pt>
                <c:pt idx="37">
                  <c:v>352</c:v>
                </c:pt>
                <c:pt idx="38">
                  <c:v>444</c:v>
                </c:pt>
                <c:pt idx="39">
                  <c:v>432</c:v>
                </c:pt>
                <c:pt idx="40">
                  <c:v>480</c:v>
                </c:pt>
                <c:pt idx="41">
                  <c:v>268</c:v>
                </c:pt>
                <c:pt idx="42">
                  <c:v>438</c:v>
                </c:pt>
                <c:pt idx="43">
                  <c:v>345</c:v>
                </c:pt>
                <c:pt idx="44">
                  <c:v>510</c:v>
                </c:pt>
                <c:pt idx="45">
                  <c:v>330</c:v>
                </c:pt>
                <c:pt idx="46">
                  <c:v>391</c:v>
                </c:pt>
                <c:pt idx="47">
                  <c:v>440</c:v>
                </c:pt>
                <c:pt idx="48">
                  <c:v>398</c:v>
                </c:pt>
                <c:pt idx="49">
                  <c:v>479</c:v>
                </c:pt>
                <c:pt idx="50">
                  <c:v>375</c:v>
                </c:pt>
                <c:pt idx="51">
                  <c:v>360</c:v>
                </c:pt>
                <c:pt idx="52">
                  <c:v>370</c:v>
                </c:pt>
                <c:pt idx="53">
                  <c:v>592</c:v>
                </c:pt>
                <c:pt idx="54">
                  <c:v>532</c:v>
                </c:pt>
                <c:pt idx="55">
                  <c:v>384</c:v>
                </c:pt>
                <c:pt idx="56">
                  <c:v>465</c:v>
                </c:pt>
                <c:pt idx="57">
                  <c:v>427</c:v>
                </c:pt>
                <c:pt idx="58">
                  <c:v>470</c:v>
                </c:pt>
                <c:pt idx="59">
                  <c:v>585</c:v>
                </c:pt>
                <c:pt idx="60">
                  <c:v>331</c:v>
                </c:pt>
                <c:pt idx="61">
                  <c:v>416</c:v>
                </c:pt>
                <c:pt idx="62">
                  <c:v>458</c:v>
                </c:pt>
                <c:pt idx="63">
                  <c:v>495</c:v>
                </c:pt>
                <c:pt idx="64">
                  <c:v>350</c:v>
                </c:pt>
                <c:pt idx="65">
                  <c:v>533</c:v>
                </c:pt>
                <c:pt idx="66">
                  <c:v>382</c:v>
                </c:pt>
                <c:pt idx="67">
                  <c:v>498</c:v>
                </c:pt>
                <c:pt idx="6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1E-4BC9-B807-3C3F2E0CB7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3252864"/>
        <c:axId val="973255584"/>
      </c:scatterChart>
      <c:valAx>
        <c:axId val="973252864"/>
        <c:scaling>
          <c:orientation val="minMax"/>
          <c:max val="8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pt-BR" sz="1200" b="1" i="0" u="none" strike="noStrike" baseline="0">
                    <a:effectLst/>
                  </a:rPr>
                  <a:t>Idade (anos)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6177360290175939"/>
              <c:y val="0.920116351435451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973255584"/>
        <c:crossesAt val="-10"/>
        <c:crossBetween val="midCat"/>
        <c:majorUnit val="5"/>
      </c:valAx>
      <c:valAx>
        <c:axId val="973255584"/>
        <c:scaling>
          <c:orientation val="minMax"/>
          <c:max val="650"/>
          <c:min val="2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 i="0" u="none" strike="noStrike" baseline="0">
                    <a:effectLst/>
                  </a:rPr>
                  <a:t>DTC6' (metros)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8.1465778316172025E-3"/>
              <c:y val="0.289224774738209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973252864"/>
        <c:crosses val="autoZero"/>
        <c:crossBetween val="midCat"/>
        <c:majorUnit val="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0736509395211"/>
          <c:y val="4.7443774353667804E-2"/>
          <c:w val="0.84494524391347636"/>
          <c:h val="0.7781447713772620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12700">
                <a:prstDash val="solid"/>
              </a:ln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'Gráf Dispersão'!$C$3:$C$71</c:f>
              <c:numCache>
                <c:formatCode>0.0</c:formatCode>
                <c:ptCount val="69"/>
                <c:pt idx="0">
                  <c:v>24.653031409788166</c:v>
                </c:pt>
                <c:pt idx="1">
                  <c:v>31.249999999999993</c:v>
                </c:pt>
                <c:pt idx="2">
                  <c:v>29.296874999999993</c:v>
                </c:pt>
                <c:pt idx="3">
                  <c:v>20.703124999999996</c:v>
                </c:pt>
                <c:pt idx="4">
                  <c:v>17.781971258528088</c:v>
                </c:pt>
                <c:pt idx="5">
                  <c:v>27.005130974885226</c:v>
                </c:pt>
                <c:pt idx="6">
                  <c:v>24.538964901844146</c:v>
                </c:pt>
                <c:pt idx="7">
                  <c:v>29.210109943608259</c:v>
                </c:pt>
                <c:pt idx="8">
                  <c:v>36.063163054514902</c:v>
                </c:pt>
                <c:pt idx="9">
                  <c:v>22.892819979188342</c:v>
                </c:pt>
                <c:pt idx="10">
                  <c:v>26.23355580417422</c:v>
                </c:pt>
                <c:pt idx="11">
                  <c:v>22.176497485139457</c:v>
                </c:pt>
                <c:pt idx="12">
                  <c:v>22.664359861591699</c:v>
                </c:pt>
                <c:pt idx="13">
                  <c:v>16.601562499999996</c:v>
                </c:pt>
                <c:pt idx="14">
                  <c:v>28.515624999999993</c:v>
                </c:pt>
                <c:pt idx="15">
                  <c:v>29.968782518210194</c:v>
                </c:pt>
                <c:pt idx="16">
                  <c:v>16.974653755642141</c:v>
                </c:pt>
                <c:pt idx="17">
                  <c:v>24.034609838166958</c:v>
                </c:pt>
                <c:pt idx="18">
                  <c:v>27.580200319349689</c:v>
                </c:pt>
                <c:pt idx="19">
                  <c:v>25.68370986920333</c:v>
                </c:pt>
                <c:pt idx="20">
                  <c:v>25.209201358495854</c:v>
                </c:pt>
                <c:pt idx="21">
                  <c:v>20.775623268698062</c:v>
                </c:pt>
                <c:pt idx="22">
                  <c:v>20.195092211553114</c:v>
                </c:pt>
                <c:pt idx="23">
                  <c:v>20.195578231292519</c:v>
                </c:pt>
                <c:pt idx="24">
                  <c:v>29.340039628105465</c:v>
                </c:pt>
                <c:pt idx="25">
                  <c:v>25.153150229218223</c:v>
                </c:pt>
                <c:pt idx="26">
                  <c:v>24.141519250780433</c:v>
                </c:pt>
                <c:pt idx="27">
                  <c:v>35.05886426592798</c:v>
                </c:pt>
                <c:pt idx="28">
                  <c:v>27.688778133776353</c:v>
                </c:pt>
                <c:pt idx="29">
                  <c:v>30.947022160664819</c:v>
                </c:pt>
                <c:pt idx="30">
                  <c:v>30.457655947153988</c:v>
                </c:pt>
                <c:pt idx="31">
                  <c:v>27.303438382155587</c:v>
                </c:pt>
                <c:pt idx="32">
                  <c:v>26.479181884587291</c:v>
                </c:pt>
                <c:pt idx="33">
                  <c:v>23.823579018384216</c:v>
                </c:pt>
                <c:pt idx="34">
                  <c:v>19.140624999999996</c:v>
                </c:pt>
                <c:pt idx="35">
                  <c:v>24.609733700642796</c:v>
                </c:pt>
                <c:pt idx="36">
                  <c:v>34.343434343434346</c:v>
                </c:pt>
                <c:pt idx="37">
                  <c:v>19.759870525800746</c:v>
                </c:pt>
                <c:pt idx="38">
                  <c:v>29.136316337148799</c:v>
                </c:pt>
                <c:pt idx="39">
                  <c:v>24.86395196096829</c:v>
                </c:pt>
                <c:pt idx="40">
                  <c:v>25.711662075298442</c:v>
                </c:pt>
                <c:pt idx="41">
                  <c:v>36.160420775805385</c:v>
                </c:pt>
                <c:pt idx="42">
                  <c:v>32.690541781450875</c:v>
                </c:pt>
                <c:pt idx="43">
                  <c:v>33.961296937075481</c:v>
                </c:pt>
                <c:pt idx="44">
                  <c:v>27.734374999999993</c:v>
                </c:pt>
                <c:pt idx="45">
                  <c:v>29.270994027135</c:v>
                </c:pt>
                <c:pt idx="46">
                  <c:v>19.562955254942764</c:v>
                </c:pt>
                <c:pt idx="47">
                  <c:v>30.421849648458629</c:v>
                </c:pt>
                <c:pt idx="48">
                  <c:v>24.349635796045781</c:v>
                </c:pt>
                <c:pt idx="49">
                  <c:v>19.562955254942764</c:v>
                </c:pt>
                <c:pt idx="50">
                  <c:v>17.998163452708908</c:v>
                </c:pt>
                <c:pt idx="51">
                  <c:v>30.757400999615534</c:v>
                </c:pt>
                <c:pt idx="52">
                  <c:v>27.76620852422602</c:v>
                </c:pt>
                <c:pt idx="53">
                  <c:v>19.834710743801654</c:v>
                </c:pt>
                <c:pt idx="54">
                  <c:v>21.227887617065555</c:v>
                </c:pt>
                <c:pt idx="55">
                  <c:v>22.666666666666668</c:v>
                </c:pt>
                <c:pt idx="56">
                  <c:v>19.723865877712029</c:v>
                </c:pt>
                <c:pt idx="57">
                  <c:v>26.42644959685197</c:v>
                </c:pt>
                <c:pt idx="58">
                  <c:v>22.769438353853939</c:v>
                </c:pt>
                <c:pt idx="59">
                  <c:v>19.723865877712029</c:v>
                </c:pt>
                <c:pt idx="60">
                  <c:v>20.444444444444443</c:v>
                </c:pt>
                <c:pt idx="61">
                  <c:v>21.218317194552675</c:v>
                </c:pt>
                <c:pt idx="62">
                  <c:v>27.681660899653981</c:v>
                </c:pt>
                <c:pt idx="63">
                  <c:v>25.529644871208653</c:v>
                </c:pt>
                <c:pt idx="64">
                  <c:v>34.516765285996051</c:v>
                </c:pt>
                <c:pt idx="65">
                  <c:v>22.718974400584202</c:v>
                </c:pt>
                <c:pt idx="66">
                  <c:v>21.096190514828187</c:v>
                </c:pt>
                <c:pt idx="67">
                  <c:v>25.236340330075304</c:v>
                </c:pt>
                <c:pt idx="68">
                  <c:v>26.709401709401707</c:v>
                </c:pt>
              </c:numCache>
            </c:numRef>
          </c:xVal>
          <c:yVal>
            <c:numRef>
              <c:f>'Gráf Dispersão'!$A$3:$A$71</c:f>
              <c:numCache>
                <c:formatCode>0</c:formatCode>
                <c:ptCount val="69"/>
                <c:pt idx="0">
                  <c:v>632</c:v>
                </c:pt>
                <c:pt idx="1">
                  <c:v>487</c:v>
                </c:pt>
                <c:pt idx="2">
                  <c:v>493</c:v>
                </c:pt>
                <c:pt idx="3">
                  <c:v>399</c:v>
                </c:pt>
                <c:pt idx="4">
                  <c:v>524</c:v>
                </c:pt>
                <c:pt idx="5">
                  <c:v>476</c:v>
                </c:pt>
                <c:pt idx="6">
                  <c:v>523</c:v>
                </c:pt>
                <c:pt idx="7">
                  <c:v>420</c:v>
                </c:pt>
                <c:pt idx="8">
                  <c:v>450</c:v>
                </c:pt>
                <c:pt idx="9">
                  <c:v>519</c:v>
                </c:pt>
                <c:pt idx="10">
                  <c:v>479</c:v>
                </c:pt>
                <c:pt idx="11">
                  <c:v>540</c:v>
                </c:pt>
                <c:pt idx="12">
                  <c:v>437</c:v>
                </c:pt>
                <c:pt idx="13">
                  <c:v>452</c:v>
                </c:pt>
                <c:pt idx="14">
                  <c:v>497</c:v>
                </c:pt>
                <c:pt idx="15">
                  <c:v>528</c:v>
                </c:pt>
                <c:pt idx="16">
                  <c:v>300</c:v>
                </c:pt>
                <c:pt idx="17">
                  <c:v>482</c:v>
                </c:pt>
                <c:pt idx="18">
                  <c:v>447</c:v>
                </c:pt>
                <c:pt idx="19">
                  <c:v>426</c:v>
                </c:pt>
                <c:pt idx="20">
                  <c:v>392</c:v>
                </c:pt>
                <c:pt idx="21">
                  <c:v>535</c:v>
                </c:pt>
                <c:pt idx="22">
                  <c:v>549</c:v>
                </c:pt>
                <c:pt idx="23">
                  <c:v>452</c:v>
                </c:pt>
                <c:pt idx="24">
                  <c:v>451</c:v>
                </c:pt>
                <c:pt idx="25">
                  <c:v>375</c:v>
                </c:pt>
                <c:pt idx="26">
                  <c:v>364</c:v>
                </c:pt>
                <c:pt idx="27">
                  <c:v>422</c:v>
                </c:pt>
                <c:pt idx="28">
                  <c:v>438</c:v>
                </c:pt>
                <c:pt idx="29">
                  <c:v>535</c:v>
                </c:pt>
                <c:pt idx="30">
                  <c:v>498</c:v>
                </c:pt>
                <c:pt idx="31">
                  <c:v>264</c:v>
                </c:pt>
                <c:pt idx="32">
                  <c:v>477</c:v>
                </c:pt>
                <c:pt idx="33">
                  <c:v>435</c:v>
                </c:pt>
                <c:pt idx="34">
                  <c:v>542</c:v>
                </c:pt>
                <c:pt idx="35">
                  <c:v>509</c:v>
                </c:pt>
                <c:pt idx="36">
                  <c:v>267</c:v>
                </c:pt>
                <c:pt idx="37">
                  <c:v>352</c:v>
                </c:pt>
                <c:pt idx="38">
                  <c:v>444</c:v>
                </c:pt>
                <c:pt idx="39">
                  <c:v>432</c:v>
                </c:pt>
                <c:pt idx="40">
                  <c:v>480</c:v>
                </c:pt>
                <c:pt idx="41">
                  <c:v>268</c:v>
                </c:pt>
                <c:pt idx="42">
                  <c:v>438</c:v>
                </c:pt>
                <c:pt idx="43">
                  <c:v>345</c:v>
                </c:pt>
                <c:pt idx="44">
                  <c:v>510</c:v>
                </c:pt>
                <c:pt idx="45">
                  <c:v>330</c:v>
                </c:pt>
                <c:pt idx="46">
                  <c:v>391</c:v>
                </c:pt>
                <c:pt idx="47">
                  <c:v>440</c:v>
                </c:pt>
                <c:pt idx="48">
                  <c:v>398</c:v>
                </c:pt>
                <c:pt idx="49">
                  <c:v>479</c:v>
                </c:pt>
                <c:pt idx="50">
                  <c:v>375</c:v>
                </c:pt>
                <c:pt idx="51">
                  <c:v>360</c:v>
                </c:pt>
                <c:pt idx="52">
                  <c:v>370</c:v>
                </c:pt>
                <c:pt idx="53">
                  <c:v>592</c:v>
                </c:pt>
                <c:pt idx="54">
                  <c:v>532</c:v>
                </c:pt>
                <c:pt idx="55">
                  <c:v>384</c:v>
                </c:pt>
                <c:pt idx="56">
                  <c:v>465</c:v>
                </c:pt>
                <c:pt idx="57">
                  <c:v>427</c:v>
                </c:pt>
                <c:pt idx="58">
                  <c:v>470</c:v>
                </c:pt>
                <c:pt idx="59">
                  <c:v>585</c:v>
                </c:pt>
                <c:pt idx="60">
                  <c:v>331</c:v>
                </c:pt>
                <c:pt idx="61">
                  <c:v>416</c:v>
                </c:pt>
                <c:pt idx="62">
                  <c:v>458</c:v>
                </c:pt>
                <c:pt idx="63">
                  <c:v>495</c:v>
                </c:pt>
                <c:pt idx="64">
                  <c:v>350</c:v>
                </c:pt>
                <c:pt idx="65">
                  <c:v>533</c:v>
                </c:pt>
                <c:pt idx="66">
                  <c:v>382</c:v>
                </c:pt>
                <c:pt idx="67">
                  <c:v>498</c:v>
                </c:pt>
                <c:pt idx="6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EA-49A6-B395-BE9205206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804432"/>
        <c:axId val="1044806608"/>
      </c:scatterChart>
      <c:valAx>
        <c:axId val="1044804432"/>
        <c:scaling>
          <c:orientation val="minMax"/>
          <c:max val="38"/>
          <c:min val="14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pt-BR" sz="1200" b="1" i="0" u="none" strike="noStrike" baseline="0">
                    <a:effectLst/>
                  </a:rPr>
                  <a:t>IMC (kg/m</a:t>
                </a:r>
                <a:r>
                  <a:rPr lang="pt-BR" sz="1200" b="1" i="0" u="none" strike="noStrike" baseline="30000">
                    <a:effectLst/>
                  </a:rPr>
                  <a:t>2</a:t>
                </a:r>
                <a:r>
                  <a:rPr lang="pt-BR" sz="1200" b="1" i="0" u="none" strike="noStrike" baseline="0">
                    <a:effectLst/>
                  </a:rPr>
                  <a:t>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7503620237125532"/>
              <c:y val="0.92243051612117621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044806608"/>
        <c:crossesAt val="-10"/>
        <c:crossBetween val="midCat"/>
        <c:majorUnit val="2"/>
      </c:valAx>
      <c:valAx>
        <c:axId val="1044806608"/>
        <c:scaling>
          <c:orientation val="minMax"/>
          <c:max val="650"/>
          <c:min val="2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 i="0" u="none" strike="noStrike" baseline="0">
                    <a:effectLst/>
                  </a:rPr>
                  <a:t>DTC6' (metros)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1.0357011076533206E-2"/>
              <c:y val="0.289224774738209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1044804432"/>
        <c:crosses val="autoZero"/>
        <c:crossBetween val="midCat"/>
        <c:majorUnit val="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30736509395211"/>
          <c:y val="4.7443774353667804E-2"/>
          <c:w val="0.84494524391347636"/>
          <c:h val="0.77814477137726201"/>
        </c:manualLayout>
      </c:layout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triangl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trendline>
            <c:spPr>
              <a:ln w="12700">
                <a:prstDash val="solid"/>
              </a:ln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'Gráf Dispersão'!$F$3:$F$71</c:f>
              <c:numCache>
                <c:formatCode>General</c:formatCode>
                <c:ptCount val="69"/>
                <c:pt idx="0">
                  <c:v>36</c:v>
                </c:pt>
                <c:pt idx="1">
                  <c:v>56</c:v>
                </c:pt>
                <c:pt idx="2">
                  <c:v>30</c:v>
                </c:pt>
                <c:pt idx="3">
                  <c:v>56</c:v>
                </c:pt>
                <c:pt idx="4">
                  <c:v>57</c:v>
                </c:pt>
                <c:pt idx="5">
                  <c:v>64</c:v>
                </c:pt>
                <c:pt idx="6">
                  <c:v>45</c:v>
                </c:pt>
                <c:pt idx="7">
                  <c:v>55</c:v>
                </c:pt>
                <c:pt idx="8">
                  <c:v>54</c:v>
                </c:pt>
                <c:pt idx="9">
                  <c:v>39</c:v>
                </c:pt>
                <c:pt idx="10">
                  <c:v>64</c:v>
                </c:pt>
                <c:pt idx="11">
                  <c:v>48</c:v>
                </c:pt>
                <c:pt idx="13">
                  <c:v>30</c:v>
                </c:pt>
                <c:pt idx="14">
                  <c:v>45</c:v>
                </c:pt>
                <c:pt idx="15">
                  <c:v>50</c:v>
                </c:pt>
                <c:pt idx="16">
                  <c:v>32</c:v>
                </c:pt>
                <c:pt idx="18">
                  <c:v>59</c:v>
                </c:pt>
                <c:pt idx="19">
                  <c:v>29</c:v>
                </c:pt>
                <c:pt idx="20">
                  <c:v>50</c:v>
                </c:pt>
                <c:pt idx="21">
                  <c:v>70</c:v>
                </c:pt>
                <c:pt idx="22">
                  <c:v>27</c:v>
                </c:pt>
                <c:pt idx="23">
                  <c:v>40</c:v>
                </c:pt>
                <c:pt idx="25">
                  <c:v>67</c:v>
                </c:pt>
                <c:pt idx="26">
                  <c:v>64</c:v>
                </c:pt>
                <c:pt idx="27">
                  <c:v>62</c:v>
                </c:pt>
                <c:pt idx="28">
                  <c:v>31</c:v>
                </c:pt>
                <c:pt idx="29">
                  <c:v>48</c:v>
                </c:pt>
                <c:pt idx="30">
                  <c:v>55</c:v>
                </c:pt>
                <c:pt idx="31">
                  <c:v>30</c:v>
                </c:pt>
                <c:pt idx="32">
                  <c:v>37</c:v>
                </c:pt>
                <c:pt idx="33">
                  <c:v>65</c:v>
                </c:pt>
                <c:pt idx="34">
                  <c:v>34</c:v>
                </c:pt>
                <c:pt idx="35">
                  <c:v>74</c:v>
                </c:pt>
                <c:pt idx="36">
                  <c:v>33</c:v>
                </c:pt>
                <c:pt idx="37">
                  <c:v>15</c:v>
                </c:pt>
                <c:pt idx="38">
                  <c:v>37</c:v>
                </c:pt>
                <c:pt idx="39">
                  <c:v>41</c:v>
                </c:pt>
                <c:pt idx="40">
                  <c:v>19</c:v>
                </c:pt>
                <c:pt idx="41">
                  <c:v>29</c:v>
                </c:pt>
                <c:pt idx="42">
                  <c:v>27</c:v>
                </c:pt>
                <c:pt idx="43">
                  <c:v>70</c:v>
                </c:pt>
                <c:pt idx="44">
                  <c:v>73</c:v>
                </c:pt>
                <c:pt idx="45">
                  <c:v>21</c:v>
                </c:pt>
                <c:pt idx="46">
                  <c:v>42</c:v>
                </c:pt>
                <c:pt idx="47">
                  <c:v>88</c:v>
                </c:pt>
                <c:pt idx="48">
                  <c:v>41</c:v>
                </c:pt>
                <c:pt idx="49">
                  <c:v>66</c:v>
                </c:pt>
                <c:pt idx="50">
                  <c:v>15</c:v>
                </c:pt>
                <c:pt idx="51">
                  <c:v>40</c:v>
                </c:pt>
                <c:pt idx="52">
                  <c:v>40</c:v>
                </c:pt>
                <c:pt idx="53">
                  <c:v>76</c:v>
                </c:pt>
                <c:pt idx="54">
                  <c:v>24</c:v>
                </c:pt>
                <c:pt idx="55">
                  <c:v>38</c:v>
                </c:pt>
                <c:pt idx="56">
                  <c:v>59</c:v>
                </c:pt>
                <c:pt idx="57">
                  <c:v>86</c:v>
                </c:pt>
                <c:pt idx="58">
                  <c:v>41</c:v>
                </c:pt>
                <c:pt idx="59">
                  <c:v>51</c:v>
                </c:pt>
                <c:pt idx="60">
                  <c:v>9</c:v>
                </c:pt>
                <c:pt idx="61">
                  <c:v>42</c:v>
                </c:pt>
                <c:pt idx="62">
                  <c:v>59</c:v>
                </c:pt>
                <c:pt idx="63">
                  <c:v>79</c:v>
                </c:pt>
                <c:pt idx="64">
                  <c:v>33</c:v>
                </c:pt>
                <c:pt idx="65">
                  <c:v>44</c:v>
                </c:pt>
                <c:pt idx="66">
                  <c:v>17</c:v>
                </c:pt>
                <c:pt idx="67">
                  <c:v>38</c:v>
                </c:pt>
                <c:pt idx="68">
                  <c:v>39</c:v>
                </c:pt>
              </c:numCache>
            </c:numRef>
          </c:xVal>
          <c:yVal>
            <c:numRef>
              <c:f>'Gráf Dispersão'!$A$3:$A$71</c:f>
              <c:numCache>
                <c:formatCode>0</c:formatCode>
                <c:ptCount val="69"/>
                <c:pt idx="0">
                  <c:v>632</c:v>
                </c:pt>
                <c:pt idx="1">
                  <c:v>487</c:v>
                </c:pt>
                <c:pt idx="2">
                  <c:v>493</c:v>
                </c:pt>
                <c:pt idx="3">
                  <c:v>399</c:v>
                </c:pt>
                <c:pt idx="4">
                  <c:v>524</c:v>
                </c:pt>
                <c:pt idx="5">
                  <c:v>476</c:v>
                </c:pt>
                <c:pt idx="6">
                  <c:v>523</c:v>
                </c:pt>
                <c:pt idx="7">
                  <c:v>420</c:v>
                </c:pt>
                <c:pt idx="8">
                  <c:v>450</c:v>
                </c:pt>
                <c:pt idx="9">
                  <c:v>519</c:v>
                </c:pt>
                <c:pt idx="10">
                  <c:v>479</c:v>
                </c:pt>
                <c:pt idx="11">
                  <c:v>540</c:v>
                </c:pt>
                <c:pt idx="12">
                  <c:v>437</c:v>
                </c:pt>
                <c:pt idx="13">
                  <c:v>452</c:v>
                </c:pt>
                <c:pt idx="14">
                  <c:v>497</c:v>
                </c:pt>
                <c:pt idx="15">
                  <c:v>528</c:v>
                </c:pt>
                <c:pt idx="16">
                  <c:v>300</c:v>
                </c:pt>
                <c:pt idx="17">
                  <c:v>482</c:v>
                </c:pt>
                <c:pt idx="18">
                  <c:v>447</c:v>
                </c:pt>
                <c:pt idx="19">
                  <c:v>426</c:v>
                </c:pt>
                <c:pt idx="20">
                  <c:v>392</c:v>
                </c:pt>
                <c:pt idx="21">
                  <c:v>535</c:v>
                </c:pt>
                <c:pt idx="22">
                  <c:v>549</c:v>
                </c:pt>
                <c:pt idx="23">
                  <c:v>452</c:v>
                </c:pt>
                <c:pt idx="24">
                  <c:v>451</c:v>
                </c:pt>
                <c:pt idx="25">
                  <c:v>375</c:v>
                </c:pt>
                <c:pt idx="26">
                  <c:v>364</c:v>
                </c:pt>
                <c:pt idx="27">
                  <c:v>422</c:v>
                </c:pt>
                <c:pt idx="28">
                  <c:v>438</c:v>
                </c:pt>
                <c:pt idx="29">
                  <c:v>535</c:v>
                </c:pt>
                <c:pt idx="30">
                  <c:v>498</c:v>
                </c:pt>
                <c:pt idx="31">
                  <c:v>264</c:v>
                </c:pt>
                <c:pt idx="32">
                  <c:v>477</c:v>
                </c:pt>
                <c:pt idx="33">
                  <c:v>435</c:v>
                </c:pt>
                <c:pt idx="34">
                  <c:v>542</c:v>
                </c:pt>
                <c:pt idx="35">
                  <c:v>509</c:v>
                </c:pt>
                <c:pt idx="36">
                  <c:v>267</c:v>
                </c:pt>
                <c:pt idx="37">
                  <c:v>352</c:v>
                </c:pt>
                <c:pt idx="38">
                  <c:v>444</c:v>
                </c:pt>
                <c:pt idx="39">
                  <c:v>432</c:v>
                </c:pt>
                <c:pt idx="40">
                  <c:v>480</c:v>
                </c:pt>
                <c:pt idx="41">
                  <c:v>268</c:v>
                </c:pt>
                <c:pt idx="42">
                  <c:v>438</c:v>
                </c:pt>
                <c:pt idx="43">
                  <c:v>345</c:v>
                </c:pt>
                <c:pt idx="44">
                  <c:v>510</c:v>
                </c:pt>
                <c:pt idx="45">
                  <c:v>330</c:v>
                </c:pt>
                <c:pt idx="46">
                  <c:v>391</c:v>
                </c:pt>
                <c:pt idx="47">
                  <c:v>440</c:v>
                </c:pt>
                <c:pt idx="48">
                  <c:v>398</c:v>
                </c:pt>
                <c:pt idx="49">
                  <c:v>479</c:v>
                </c:pt>
                <c:pt idx="50">
                  <c:v>375</c:v>
                </c:pt>
                <c:pt idx="51">
                  <c:v>360</c:v>
                </c:pt>
                <c:pt idx="52">
                  <c:v>370</c:v>
                </c:pt>
                <c:pt idx="53">
                  <c:v>592</c:v>
                </c:pt>
                <c:pt idx="54">
                  <c:v>532</c:v>
                </c:pt>
                <c:pt idx="55">
                  <c:v>384</c:v>
                </c:pt>
                <c:pt idx="56">
                  <c:v>465</c:v>
                </c:pt>
                <c:pt idx="57">
                  <c:v>427</c:v>
                </c:pt>
                <c:pt idx="58">
                  <c:v>470</c:v>
                </c:pt>
                <c:pt idx="59">
                  <c:v>585</c:v>
                </c:pt>
                <c:pt idx="60">
                  <c:v>331</c:v>
                </c:pt>
                <c:pt idx="61">
                  <c:v>416</c:v>
                </c:pt>
                <c:pt idx="62">
                  <c:v>458</c:v>
                </c:pt>
                <c:pt idx="63">
                  <c:v>495</c:v>
                </c:pt>
                <c:pt idx="64">
                  <c:v>350</c:v>
                </c:pt>
                <c:pt idx="65">
                  <c:v>533</c:v>
                </c:pt>
                <c:pt idx="66">
                  <c:v>382</c:v>
                </c:pt>
                <c:pt idx="67">
                  <c:v>498</c:v>
                </c:pt>
                <c:pt idx="68">
                  <c:v>482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CD-4253-A032-9C8B18C27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4808784"/>
        <c:axId val="1044798448"/>
      </c:scatterChart>
      <c:valAx>
        <c:axId val="1044808784"/>
        <c:scaling>
          <c:orientation val="minMax"/>
          <c:max val="10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pt-BR" sz="1200" b="1" i="0" u="none" strike="noStrike" baseline="0">
                    <a:effectLst/>
                  </a:rPr>
                  <a:t>PEmáx (% predito)  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0.43524840396276726"/>
              <c:y val="0.91667991996050002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044798448"/>
        <c:crossesAt val="-10"/>
        <c:crossBetween val="midCat"/>
        <c:majorUnit val="10"/>
      </c:valAx>
      <c:valAx>
        <c:axId val="1044798448"/>
        <c:scaling>
          <c:orientation val="minMax"/>
          <c:max val="650"/>
          <c:min val="200"/>
        </c:scaling>
        <c:delete val="0"/>
        <c:axPos val="l"/>
        <c:title>
          <c:tx>
            <c:rich>
              <a:bodyPr rot="-5400000" vert="horz"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200" b="1" i="0" u="none" strike="noStrike" baseline="0">
                    <a:effectLst/>
                  </a:rPr>
                  <a:t>DTC6' (metros)</a:t>
                </a:r>
                <a:endParaRPr lang="pt-BR" sz="1200">
                  <a:latin typeface="+mn-lt"/>
                </a:endParaRPr>
              </a:p>
            </c:rich>
          </c:tx>
          <c:layout>
            <c:manualLayout>
              <c:xMode val="edge"/>
              <c:yMode val="edge"/>
              <c:x val="8.1465778316172025E-3"/>
              <c:y val="0.28922477473820929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6350">
            <a:solidFill>
              <a:schemeClr val="tx1"/>
            </a:solidFill>
          </a:ln>
        </c:spPr>
        <c:txPr>
          <a:bodyPr/>
          <a:lstStyle/>
          <a:p>
            <a:pPr>
              <a:defRPr sz="1100" b="1">
                <a:solidFill>
                  <a:sysClr val="windowText" lastClr="000000"/>
                </a:solidFill>
              </a:defRPr>
            </a:pPr>
            <a:endParaRPr lang="pt-BR"/>
          </a:p>
        </c:txPr>
        <c:crossAx val="1044808784"/>
        <c:crosses val="autoZero"/>
        <c:crossBetween val="midCat"/>
        <c:majorUnit val="50"/>
      </c:valAx>
    </c:plotArea>
    <c:plotVisOnly val="1"/>
    <c:dispBlanksAs val="gap"/>
    <c:showDLblsOverMax val="0"/>
  </c:chart>
  <c:spPr>
    <a:ln>
      <a:noFill/>
    </a:ln>
  </c:spPr>
  <c:printSettings>
    <c:headerFooter/>
    <c:pageMargins b="0.78740157499999996" l="0.511811024" r="0.511811024" t="0.78740157499999996" header="0.31496062000000252" footer="0.3149606200000025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7620</xdr:rowOff>
    </xdr:from>
    <xdr:to>
      <xdr:col>16</xdr:col>
      <xdr:colOff>297180</xdr:colOff>
      <xdr:row>20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23</xdr:row>
      <xdr:rowOff>0</xdr:rowOff>
    </xdr:from>
    <xdr:to>
      <xdr:col>16</xdr:col>
      <xdr:colOff>259080</xdr:colOff>
      <xdr:row>43</xdr:row>
      <xdr:rowOff>38100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38100</xdr:colOff>
      <xdr:row>22</xdr:row>
      <xdr:rowOff>180975</xdr:rowOff>
    </xdr:from>
    <xdr:to>
      <xdr:col>26</xdr:col>
      <xdr:colOff>297180</xdr:colOff>
      <xdr:row>43</xdr:row>
      <xdr:rowOff>28575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600075</xdr:colOff>
      <xdr:row>0</xdr:row>
      <xdr:rowOff>133350</xdr:rowOff>
    </xdr:from>
    <xdr:to>
      <xdr:col>26</xdr:col>
      <xdr:colOff>249555</xdr:colOff>
      <xdr:row>20</xdr:row>
      <xdr:rowOff>70485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44</xdr:row>
      <xdr:rowOff>0</xdr:rowOff>
    </xdr:from>
    <xdr:to>
      <xdr:col>16</xdr:col>
      <xdr:colOff>259080</xdr:colOff>
      <xdr:row>64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73"/>
  <sheetViews>
    <sheetView workbookViewId="0">
      <selection activeCell="N4" sqref="N4:N73"/>
    </sheetView>
  </sheetViews>
  <sheetFormatPr defaultColWidth="7.7109375" defaultRowHeight="12" x14ac:dyDescent="0.25"/>
  <cols>
    <col min="1" max="1" width="7.7109375" style="17"/>
    <col min="2" max="2" width="7.7109375" style="18"/>
    <col min="3" max="5" width="7.7109375" style="17"/>
    <col min="6" max="6" width="9.85546875" style="17" customWidth="1"/>
    <col min="7" max="7" width="9.140625" style="17" customWidth="1"/>
    <col min="8" max="8" width="7.7109375" style="19"/>
    <col min="9" max="9" width="8" style="18" customWidth="1"/>
    <col min="10" max="10" width="8.85546875" style="17" customWidth="1"/>
    <col min="11" max="11" width="9.140625" style="17" customWidth="1"/>
    <col min="12" max="12" width="10.28515625" style="17" customWidth="1"/>
    <col min="13" max="13" width="8.42578125" style="17" customWidth="1"/>
    <col min="14" max="14" width="8.85546875" style="17" customWidth="1"/>
    <col min="15" max="15" width="8.85546875" style="18" customWidth="1"/>
    <col min="16" max="19" width="7.7109375" style="17"/>
    <col min="20" max="20" width="7.28515625" style="18" customWidth="1"/>
    <col min="21" max="24" width="7.7109375" style="17"/>
    <col min="25" max="25" width="13.28515625" style="18" customWidth="1"/>
    <col min="26" max="26" width="12" style="17" customWidth="1"/>
    <col min="27" max="27" width="7.7109375" style="18"/>
    <col min="28" max="29" width="7.7109375" style="17"/>
    <col min="30" max="30" width="9.7109375" style="18" customWidth="1"/>
    <col min="31" max="31" width="7.7109375" style="17"/>
    <col min="32" max="32" width="9.42578125" style="17" customWidth="1"/>
    <col min="33" max="33" width="7.7109375" style="18"/>
    <col min="34" max="46" width="7.7109375" style="17"/>
    <col min="47" max="47" width="7.85546875" style="17" customWidth="1"/>
    <col min="48" max="56" width="7.7109375" style="17"/>
    <col min="57" max="57" width="7.7109375" style="42"/>
    <col min="58" max="63" width="7.7109375" style="17"/>
    <col min="64" max="64" width="3.7109375" style="22" customWidth="1"/>
    <col min="65" max="16384" width="7.7109375" style="17"/>
  </cols>
  <sheetData>
    <row r="1" spans="1:64" s="48" customFormat="1" ht="19.899999999999999" customHeight="1" x14ac:dyDescent="0.25">
      <c r="A1" s="47" t="s">
        <v>135</v>
      </c>
      <c r="H1" s="49"/>
      <c r="BE1" s="50"/>
      <c r="BL1" s="51"/>
    </row>
    <row r="2" spans="1:64" ht="19.899999999999999" customHeight="1" thickBot="1" x14ac:dyDescent="0.3">
      <c r="A2" s="46" t="s">
        <v>71</v>
      </c>
      <c r="B2" s="46" t="s">
        <v>72</v>
      </c>
      <c r="C2" s="46" t="s">
        <v>73</v>
      </c>
      <c r="D2" s="46" t="s">
        <v>74</v>
      </c>
      <c r="E2" s="46" t="s">
        <v>75</v>
      </c>
      <c r="F2" s="46" t="s">
        <v>76</v>
      </c>
      <c r="G2" s="46" t="s">
        <v>77</v>
      </c>
      <c r="H2" s="46" t="s">
        <v>78</v>
      </c>
      <c r="I2" s="46" t="s">
        <v>79</v>
      </c>
      <c r="J2" s="46" t="s">
        <v>80</v>
      </c>
      <c r="K2" s="46" t="s">
        <v>81</v>
      </c>
      <c r="L2" s="46" t="s">
        <v>82</v>
      </c>
      <c r="M2" s="46" t="s">
        <v>83</v>
      </c>
      <c r="N2" s="46" t="s">
        <v>84</v>
      </c>
      <c r="O2" s="46" t="s">
        <v>85</v>
      </c>
      <c r="P2" s="46" t="s">
        <v>86</v>
      </c>
      <c r="Q2" s="46" t="s">
        <v>87</v>
      </c>
      <c r="R2" s="46" t="s">
        <v>88</v>
      </c>
      <c r="S2" s="46" t="s">
        <v>89</v>
      </c>
      <c r="T2" s="46" t="s">
        <v>90</v>
      </c>
      <c r="U2" s="46" t="s">
        <v>91</v>
      </c>
      <c r="V2" s="46" t="s">
        <v>92</v>
      </c>
      <c r="W2" s="46" t="s">
        <v>93</v>
      </c>
      <c r="X2" s="46" t="s">
        <v>94</v>
      </c>
      <c r="Y2" s="46" t="s">
        <v>95</v>
      </c>
      <c r="Z2" s="46" t="s">
        <v>96</v>
      </c>
      <c r="AA2" s="46" t="s">
        <v>97</v>
      </c>
      <c r="AB2" s="46" t="s">
        <v>98</v>
      </c>
      <c r="AC2" s="46" t="s">
        <v>99</v>
      </c>
      <c r="AD2" s="46" t="s">
        <v>100</v>
      </c>
      <c r="AE2" s="46" t="s">
        <v>101</v>
      </c>
      <c r="AF2" s="46" t="s">
        <v>102</v>
      </c>
      <c r="AG2" s="46" t="s">
        <v>103</v>
      </c>
      <c r="AH2" s="46" t="s">
        <v>104</v>
      </c>
      <c r="AI2" s="46" t="s">
        <v>105</v>
      </c>
      <c r="AJ2" s="46" t="s">
        <v>106</v>
      </c>
      <c r="AK2" s="46" t="s">
        <v>107</v>
      </c>
      <c r="AL2" s="46" t="s">
        <v>108</v>
      </c>
      <c r="AM2" s="46" t="s">
        <v>109</v>
      </c>
      <c r="AN2" s="46" t="s">
        <v>110</v>
      </c>
      <c r="AO2" s="46" t="s">
        <v>111</v>
      </c>
      <c r="AP2" s="46" t="s">
        <v>112</v>
      </c>
      <c r="AQ2" s="46" t="s">
        <v>113</v>
      </c>
      <c r="AR2" s="46" t="s">
        <v>114</v>
      </c>
      <c r="AS2" s="46" t="s">
        <v>115</v>
      </c>
      <c r="AT2" s="46" t="s">
        <v>116</v>
      </c>
      <c r="AU2" s="46" t="s">
        <v>117</v>
      </c>
      <c r="AV2" s="46" t="s">
        <v>118</v>
      </c>
      <c r="AW2" s="46" t="s">
        <v>119</v>
      </c>
      <c r="AX2" s="46" t="s">
        <v>120</v>
      </c>
      <c r="AY2" s="46" t="s">
        <v>121</v>
      </c>
      <c r="AZ2" s="46" t="s">
        <v>122</v>
      </c>
      <c r="BA2" s="46" t="s">
        <v>123</v>
      </c>
      <c r="BB2" s="46" t="s">
        <v>124</v>
      </c>
      <c r="BC2" s="46" t="s">
        <v>125</v>
      </c>
      <c r="BD2" s="46" t="s">
        <v>126</v>
      </c>
      <c r="BE2" s="46" t="s">
        <v>127</v>
      </c>
      <c r="BF2" s="46" t="s">
        <v>128</v>
      </c>
      <c r="BG2" s="46" t="s">
        <v>129</v>
      </c>
      <c r="BH2" s="46" t="s">
        <v>130</v>
      </c>
      <c r="BI2" s="46" t="s">
        <v>131</v>
      </c>
      <c r="BJ2" s="46" t="s">
        <v>132</v>
      </c>
      <c r="BK2" s="46" t="s">
        <v>133</v>
      </c>
      <c r="BL2" s="46" t="s">
        <v>134</v>
      </c>
    </row>
    <row r="3" spans="1:64" ht="24.6" customHeight="1" thickBot="1" x14ac:dyDescent="0.3">
      <c r="B3" s="192" t="s">
        <v>70</v>
      </c>
      <c r="C3" s="193"/>
      <c r="D3" s="193"/>
      <c r="E3" s="193"/>
      <c r="F3" s="193"/>
      <c r="G3" s="193"/>
      <c r="H3" s="194"/>
      <c r="I3" s="192" t="s">
        <v>69</v>
      </c>
      <c r="J3" s="193"/>
      <c r="K3" s="193"/>
      <c r="L3" s="193"/>
      <c r="M3" s="193"/>
      <c r="N3" s="194"/>
      <c r="O3" s="201" t="s">
        <v>48</v>
      </c>
      <c r="P3" s="202"/>
      <c r="Q3" s="202"/>
      <c r="R3" s="202"/>
      <c r="S3" s="203"/>
      <c r="T3" s="201" t="s">
        <v>50</v>
      </c>
      <c r="U3" s="202"/>
      <c r="V3" s="202"/>
      <c r="W3" s="202"/>
      <c r="X3" s="203"/>
      <c r="Y3" s="44" t="s">
        <v>45</v>
      </c>
      <c r="Z3" s="45" t="s">
        <v>68</v>
      </c>
      <c r="AA3" s="195" t="s">
        <v>49</v>
      </c>
      <c r="AB3" s="196"/>
      <c r="AC3" s="197"/>
      <c r="AD3" s="192" t="s">
        <v>46</v>
      </c>
      <c r="AE3" s="193"/>
      <c r="AF3" s="194"/>
      <c r="AG3" s="198" t="s">
        <v>47</v>
      </c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  <c r="AT3" s="199"/>
      <c r="AU3" s="199"/>
      <c r="AV3" s="199"/>
      <c r="AW3" s="199"/>
      <c r="AX3" s="199"/>
      <c r="AY3" s="199"/>
      <c r="AZ3" s="199"/>
      <c r="BA3" s="199"/>
      <c r="BB3" s="199"/>
      <c r="BC3" s="199"/>
      <c r="BD3" s="199"/>
      <c r="BE3" s="199"/>
      <c r="BF3" s="199"/>
      <c r="BG3" s="199"/>
      <c r="BH3" s="199"/>
      <c r="BI3" s="199"/>
      <c r="BJ3" s="199"/>
      <c r="BK3" s="200"/>
      <c r="BL3" s="20"/>
    </row>
    <row r="4" spans="1:64" s="21" customFormat="1" ht="48.75" thickBot="1" x14ac:dyDescent="0.3">
      <c r="A4" s="3" t="s">
        <v>45</v>
      </c>
      <c r="B4" s="5" t="s">
        <v>43</v>
      </c>
      <c r="C4" s="4" t="s">
        <v>0</v>
      </c>
      <c r="D4" s="4" t="s">
        <v>1</v>
      </c>
      <c r="E4" s="4" t="s">
        <v>44</v>
      </c>
      <c r="F4" s="4" t="s">
        <v>34</v>
      </c>
      <c r="G4" s="4" t="s">
        <v>33</v>
      </c>
      <c r="H4" s="8" t="s">
        <v>35</v>
      </c>
      <c r="I4" s="5" t="s">
        <v>36</v>
      </c>
      <c r="J4" s="4" t="s">
        <v>37</v>
      </c>
      <c r="K4" s="4" t="s">
        <v>38</v>
      </c>
      <c r="L4" s="4" t="s">
        <v>39</v>
      </c>
      <c r="M4" s="4" t="s">
        <v>40</v>
      </c>
      <c r="N4" s="4" t="s">
        <v>41</v>
      </c>
      <c r="O4" s="164" t="s">
        <v>51</v>
      </c>
      <c r="P4" s="165" t="s">
        <v>52</v>
      </c>
      <c r="Q4" s="165" t="s">
        <v>53</v>
      </c>
      <c r="R4" s="165" t="s">
        <v>54</v>
      </c>
      <c r="S4" s="166" t="s">
        <v>55</v>
      </c>
      <c r="T4" s="164" t="s">
        <v>56</v>
      </c>
      <c r="U4" s="165" t="s">
        <v>57</v>
      </c>
      <c r="V4" s="165" t="s">
        <v>58</v>
      </c>
      <c r="W4" s="165" t="s">
        <v>59</v>
      </c>
      <c r="X4" s="166" t="s">
        <v>60</v>
      </c>
      <c r="Y4" s="164" t="s">
        <v>67</v>
      </c>
      <c r="Z4" s="165" t="s">
        <v>32</v>
      </c>
      <c r="AA4" s="164" t="s">
        <v>2</v>
      </c>
      <c r="AB4" s="165" t="s">
        <v>3</v>
      </c>
      <c r="AC4" s="165" t="s">
        <v>4</v>
      </c>
      <c r="AD4" s="16" t="s">
        <v>64</v>
      </c>
      <c r="AE4" s="14" t="s">
        <v>65</v>
      </c>
      <c r="AF4" s="15" t="s">
        <v>66</v>
      </c>
      <c r="AG4" s="5" t="s">
        <v>18</v>
      </c>
      <c r="AH4" s="4" t="s">
        <v>19</v>
      </c>
      <c r="AI4" s="4" t="s">
        <v>20</v>
      </c>
      <c r="AJ4" s="4" t="s">
        <v>21</v>
      </c>
      <c r="AK4" s="4" t="s">
        <v>143</v>
      </c>
      <c r="AL4" s="4" t="s">
        <v>22</v>
      </c>
      <c r="AM4" s="4" t="s">
        <v>23</v>
      </c>
      <c r="AN4" s="4" t="s">
        <v>24</v>
      </c>
      <c r="AO4" s="4" t="s">
        <v>16</v>
      </c>
      <c r="AP4" s="4" t="s">
        <v>17</v>
      </c>
      <c r="AQ4" s="4" t="s">
        <v>140</v>
      </c>
      <c r="AR4" s="4" t="s">
        <v>149</v>
      </c>
      <c r="AS4" s="4" t="s">
        <v>5</v>
      </c>
      <c r="AT4" s="4" t="s">
        <v>6</v>
      </c>
      <c r="AU4" s="4" t="s">
        <v>139</v>
      </c>
      <c r="AV4" s="4" t="s">
        <v>7</v>
      </c>
      <c r="AW4" s="4" t="s">
        <v>61</v>
      </c>
      <c r="AX4" s="4" t="s">
        <v>27</v>
      </c>
      <c r="AY4" s="4" t="s">
        <v>26</v>
      </c>
      <c r="AZ4" s="4" t="s">
        <v>8</v>
      </c>
      <c r="BA4" s="4" t="s">
        <v>28</v>
      </c>
      <c r="BB4" s="4" t="s">
        <v>29</v>
      </c>
      <c r="BC4" s="4" t="s">
        <v>30</v>
      </c>
      <c r="BD4" s="4" t="s">
        <v>31</v>
      </c>
      <c r="BE4" s="11" t="s">
        <v>9</v>
      </c>
      <c r="BF4" s="4" t="s">
        <v>10</v>
      </c>
      <c r="BG4" s="4" t="s">
        <v>11</v>
      </c>
      <c r="BH4" s="4" t="s">
        <v>12</v>
      </c>
      <c r="BI4" s="4" t="s">
        <v>62</v>
      </c>
      <c r="BJ4" s="4" t="s">
        <v>63</v>
      </c>
      <c r="BK4" s="4" t="s">
        <v>15</v>
      </c>
      <c r="BL4" s="6" t="s">
        <v>42</v>
      </c>
    </row>
    <row r="5" spans="1:64" x14ac:dyDescent="0.25">
      <c r="A5" s="20">
        <v>1</v>
      </c>
      <c r="B5" s="22">
        <v>26</v>
      </c>
      <c r="C5" s="1">
        <v>54</v>
      </c>
      <c r="D5" s="2">
        <v>1.48</v>
      </c>
      <c r="E5" s="1">
        <v>24.653031409788166</v>
      </c>
      <c r="F5" s="1">
        <v>30</v>
      </c>
      <c r="G5" s="1">
        <v>26</v>
      </c>
      <c r="H5" s="23">
        <v>0</v>
      </c>
      <c r="I5" s="7">
        <v>81</v>
      </c>
      <c r="J5" s="1">
        <v>83</v>
      </c>
      <c r="K5" s="1">
        <v>117</v>
      </c>
      <c r="L5" s="23">
        <v>0.69230769230769229</v>
      </c>
      <c r="M5" s="20">
        <v>52</v>
      </c>
      <c r="N5" s="20">
        <v>36</v>
      </c>
      <c r="O5" s="22">
        <v>95</v>
      </c>
      <c r="P5" s="20">
        <v>17</v>
      </c>
      <c r="Q5" s="20">
        <v>120</v>
      </c>
      <c r="R5" s="20">
        <v>70</v>
      </c>
      <c r="S5" s="20">
        <v>97</v>
      </c>
      <c r="T5" s="22">
        <v>160</v>
      </c>
      <c r="U5" s="20">
        <v>24</v>
      </c>
      <c r="V5" s="20">
        <v>130</v>
      </c>
      <c r="W5" s="20">
        <v>80</v>
      </c>
      <c r="X5" s="20">
        <v>98</v>
      </c>
      <c r="Y5" s="43">
        <v>1.0309278350515463</v>
      </c>
      <c r="Z5" s="20">
        <v>2</v>
      </c>
      <c r="AA5" s="22">
        <v>0</v>
      </c>
      <c r="AB5" s="20">
        <v>0</v>
      </c>
      <c r="AC5" s="20">
        <v>2</v>
      </c>
      <c r="AD5" s="24">
        <v>632</v>
      </c>
      <c r="AE5" s="25">
        <v>634.86173703433167</v>
      </c>
      <c r="AF5" s="26">
        <v>99.549234602214355</v>
      </c>
      <c r="AG5" s="7">
        <v>363</v>
      </c>
      <c r="AH5" s="1">
        <v>3.1</v>
      </c>
      <c r="AI5" s="1">
        <v>27.2</v>
      </c>
      <c r="AJ5" s="2">
        <v>-4.4000000000000004</v>
      </c>
      <c r="AK5" s="1">
        <v>165</v>
      </c>
      <c r="AL5" s="1">
        <v>37.799999999999997</v>
      </c>
      <c r="AM5" s="1">
        <v>72.8</v>
      </c>
      <c r="AN5" s="1">
        <v>13.24</v>
      </c>
      <c r="AO5" s="1">
        <v>363</v>
      </c>
      <c r="AP5" s="1">
        <v>165</v>
      </c>
      <c r="AQ5" s="1">
        <v>101</v>
      </c>
      <c r="AR5" s="1">
        <v>181</v>
      </c>
      <c r="AS5" s="1">
        <v>4.5999999999999996</v>
      </c>
      <c r="AT5" s="1">
        <v>3.1</v>
      </c>
      <c r="AU5" s="2">
        <v>0</v>
      </c>
      <c r="AV5" s="2">
        <v>0</v>
      </c>
      <c r="AW5" s="2">
        <v>1.49</v>
      </c>
      <c r="AX5" s="1">
        <v>59</v>
      </c>
      <c r="AY5" s="1">
        <v>37.799999999999997</v>
      </c>
      <c r="AZ5" s="1">
        <v>2.2000000000000002</v>
      </c>
      <c r="BA5" s="1">
        <v>5.9</v>
      </c>
      <c r="BB5" s="1">
        <v>2.6709999999999998</v>
      </c>
      <c r="BC5" s="1">
        <v>1.284</v>
      </c>
      <c r="BD5" s="1">
        <v>1.3080000000000001</v>
      </c>
      <c r="BE5" s="12">
        <v>6</v>
      </c>
      <c r="BF5" s="1">
        <v>2</v>
      </c>
      <c r="BG5" s="1">
        <v>4</v>
      </c>
      <c r="BH5" s="1">
        <v>0</v>
      </c>
      <c r="BI5" s="1">
        <v>91.16</v>
      </c>
      <c r="BJ5" s="1">
        <v>8.81</v>
      </c>
      <c r="BK5" s="1">
        <v>10.343</v>
      </c>
      <c r="BL5" s="22">
        <v>1</v>
      </c>
    </row>
    <row r="6" spans="1:64" x14ac:dyDescent="0.25">
      <c r="A6" s="20">
        <v>2</v>
      </c>
      <c r="B6" s="22">
        <v>63</v>
      </c>
      <c r="C6" s="1">
        <v>80</v>
      </c>
      <c r="D6" s="2">
        <v>1.6</v>
      </c>
      <c r="E6" s="1">
        <v>31.249999999999993</v>
      </c>
      <c r="F6" s="1">
        <v>35.6</v>
      </c>
      <c r="G6" s="1">
        <v>18</v>
      </c>
      <c r="H6" s="23">
        <v>1.3</v>
      </c>
      <c r="I6" s="7">
        <v>53</v>
      </c>
      <c r="J6" s="1">
        <v>52</v>
      </c>
      <c r="K6" s="1">
        <v>45</v>
      </c>
      <c r="L6" s="23">
        <v>1.1777777777777778</v>
      </c>
      <c r="M6" s="20">
        <v>77</v>
      </c>
      <c r="N6" s="20">
        <v>56</v>
      </c>
      <c r="O6" s="22">
        <v>92</v>
      </c>
      <c r="P6" s="20">
        <v>20</v>
      </c>
      <c r="Q6" s="20">
        <v>130</v>
      </c>
      <c r="R6" s="20">
        <v>80</v>
      </c>
      <c r="S6" s="27">
        <v>82</v>
      </c>
      <c r="T6" s="22">
        <v>143</v>
      </c>
      <c r="U6" s="20">
        <v>31</v>
      </c>
      <c r="V6" s="20">
        <v>180</v>
      </c>
      <c r="W6" s="29">
        <v>100</v>
      </c>
      <c r="X6" s="20">
        <v>87</v>
      </c>
      <c r="Y6" s="43">
        <v>6.0975609756097562</v>
      </c>
      <c r="Z6" s="20">
        <v>2</v>
      </c>
      <c r="AA6" s="22">
        <v>4</v>
      </c>
      <c r="AB6" s="20">
        <v>5</v>
      </c>
      <c r="AC6" s="20">
        <v>6</v>
      </c>
      <c r="AD6" s="24">
        <v>487</v>
      </c>
      <c r="AE6" s="25">
        <v>490.27300000000002</v>
      </c>
      <c r="AF6" s="26">
        <v>99.332412757790038</v>
      </c>
      <c r="AG6" s="7">
        <v>467</v>
      </c>
      <c r="AH6" s="1">
        <v>11.7</v>
      </c>
      <c r="AI6" s="1">
        <v>54.2</v>
      </c>
      <c r="AJ6" s="2">
        <v>-3.18</v>
      </c>
      <c r="AK6" s="1">
        <v>129</v>
      </c>
      <c r="AL6" s="1">
        <v>26.9</v>
      </c>
      <c r="AM6" s="1">
        <v>45.8</v>
      </c>
      <c r="AN6" s="1">
        <v>7.6</v>
      </c>
      <c r="AO6" s="1">
        <v>467</v>
      </c>
      <c r="AP6" s="1">
        <v>129</v>
      </c>
      <c r="AQ6" s="1">
        <v>86</v>
      </c>
      <c r="AR6" s="1">
        <v>142</v>
      </c>
      <c r="AS6" s="1">
        <v>7.6</v>
      </c>
      <c r="AT6" s="1">
        <v>11.7</v>
      </c>
      <c r="AU6" s="2">
        <v>7</v>
      </c>
      <c r="AV6" s="2">
        <v>0.91</v>
      </c>
      <c r="AW6" s="2">
        <v>1.31</v>
      </c>
      <c r="AX6" s="1">
        <v>101</v>
      </c>
      <c r="AY6" s="1">
        <v>26.9</v>
      </c>
      <c r="AZ6" s="1">
        <v>8.3000000000000007</v>
      </c>
      <c r="BA6" s="1">
        <v>7</v>
      </c>
      <c r="BB6" s="1">
        <v>0.84399999999999997</v>
      </c>
      <c r="BC6" s="1">
        <v>1.038</v>
      </c>
      <c r="BD6" s="1">
        <v>1.0109999999999999</v>
      </c>
      <c r="BE6" s="12">
        <v>6</v>
      </c>
      <c r="BF6" s="1">
        <v>0</v>
      </c>
      <c r="BG6" s="1">
        <v>1</v>
      </c>
      <c r="BH6" s="1">
        <v>4</v>
      </c>
      <c r="BI6" s="1">
        <v>17.86</v>
      </c>
      <c r="BJ6" s="1">
        <v>80.38</v>
      </c>
      <c r="BK6" s="1">
        <v>0.222</v>
      </c>
      <c r="BL6" s="22">
        <v>1</v>
      </c>
    </row>
    <row r="7" spans="1:64" x14ac:dyDescent="0.25">
      <c r="A7" s="20">
        <v>3</v>
      </c>
      <c r="B7" s="22">
        <v>32</v>
      </c>
      <c r="C7" s="1">
        <v>75</v>
      </c>
      <c r="D7" s="2">
        <v>1.6</v>
      </c>
      <c r="E7" s="1">
        <v>29.296874999999993</v>
      </c>
      <c r="F7" s="1">
        <v>32.6</v>
      </c>
      <c r="G7" s="1">
        <v>18</v>
      </c>
      <c r="H7" s="23">
        <v>1</v>
      </c>
      <c r="I7" s="7">
        <v>101</v>
      </c>
      <c r="J7" s="1">
        <v>102</v>
      </c>
      <c r="K7" s="1">
        <v>89</v>
      </c>
      <c r="L7" s="23">
        <v>1.1348314606741574</v>
      </c>
      <c r="M7" s="20">
        <v>52</v>
      </c>
      <c r="N7" s="20">
        <v>30</v>
      </c>
      <c r="O7" s="22">
        <v>79</v>
      </c>
      <c r="P7" s="20">
        <v>20</v>
      </c>
      <c r="Q7" s="20">
        <v>130</v>
      </c>
      <c r="R7" s="20">
        <v>80</v>
      </c>
      <c r="S7" s="20">
        <v>99</v>
      </c>
      <c r="T7" s="22">
        <v>110</v>
      </c>
      <c r="U7" s="20">
        <v>24</v>
      </c>
      <c r="V7" s="20">
        <v>140</v>
      </c>
      <c r="W7" s="20">
        <v>80</v>
      </c>
      <c r="X7" s="20">
        <v>98</v>
      </c>
      <c r="Y7" s="43">
        <v>-1.0101010101010102</v>
      </c>
      <c r="Z7" s="20">
        <v>2</v>
      </c>
      <c r="AA7" s="22">
        <v>8</v>
      </c>
      <c r="AB7" s="20">
        <v>8</v>
      </c>
      <c r="AC7" s="20">
        <v>8</v>
      </c>
      <c r="AD7" s="24">
        <v>493</v>
      </c>
      <c r="AE7" s="25">
        <v>587.59221875000003</v>
      </c>
      <c r="AF7" s="26">
        <v>83.901723724111179</v>
      </c>
      <c r="AG7" s="7">
        <v>502</v>
      </c>
      <c r="AH7" s="1">
        <v>6.4</v>
      </c>
      <c r="AI7" s="1">
        <v>24.2</v>
      </c>
      <c r="AJ7" s="2">
        <v>-3.2</v>
      </c>
      <c r="AK7" s="1">
        <v>119</v>
      </c>
      <c r="AL7" s="1">
        <v>27.6</v>
      </c>
      <c r="AM7" s="1">
        <v>75.8</v>
      </c>
      <c r="AN7" s="1">
        <v>6.95</v>
      </c>
      <c r="AO7" s="1">
        <v>502</v>
      </c>
      <c r="AP7" s="1">
        <v>119</v>
      </c>
      <c r="AQ7" s="1">
        <v>77</v>
      </c>
      <c r="AR7" s="1">
        <v>132</v>
      </c>
      <c r="AS7" s="1">
        <v>10.6</v>
      </c>
      <c r="AT7" s="1">
        <v>6.4</v>
      </c>
      <c r="AU7" s="2">
        <v>2</v>
      </c>
      <c r="AV7" s="2">
        <v>0.27</v>
      </c>
      <c r="AW7" s="2">
        <v>2.76</v>
      </c>
      <c r="AX7" s="1">
        <v>89</v>
      </c>
      <c r="AY7" s="1">
        <v>27.6</v>
      </c>
      <c r="AZ7" s="1">
        <v>4.5</v>
      </c>
      <c r="BA7" s="1">
        <v>14.1</v>
      </c>
      <c r="BB7" s="1">
        <v>3.1349999999999998</v>
      </c>
      <c r="BC7" s="1">
        <v>1.113</v>
      </c>
      <c r="BD7" s="1">
        <v>1.141</v>
      </c>
      <c r="BE7" s="12">
        <v>71</v>
      </c>
      <c r="BF7" s="1">
        <v>3</v>
      </c>
      <c r="BG7" s="1">
        <v>62</v>
      </c>
      <c r="BH7" s="1">
        <v>6</v>
      </c>
      <c r="BI7" s="1">
        <v>91.6</v>
      </c>
      <c r="BJ7" s="1">
        <v>8.32</v>
      </c>
      <c r="BK7" s="1">
        <v>11.010999999999999</v>
      </c>
      <c r="BL7" s="22">
        <v>1</v>
      </c>
    </row>
    <row r="8" spans="1:64" x14ac:dyDescent="0.25">
      <c r="A8" s="20">
        <v>4</v>
      </c>
      <c r="B8" s="22">
        <v>74</v>
      </c>
      <c r="C8" s="1">
        <v>53</v>
      </c>
      <c r="D8" s="2">
        <v>1.6</v>
      </c>
      <c r="E8" s="1">
        <v>20.703124999999996</v>
      </c>
      <c r="F8" s="1">
        <v>16.8</v>
      </c>
      <c r="G8" s="1">
        <v>28</v>
      </c>
      <c r="H8" s="23">
        <v>0.875</v>
      </c>
      <c r="I8" s="7">
        <v>56</v>
      </c>
      <c r="J8" s="1">
        <v>61</v>
      </c>
      <c r="K8" s="1">
        <v>54</v>
      </c>
      <c r="L8" s="23">
        <v>1.037037037037037</v>
      </c>
      <c r="M8" s="20">
        <v>72</v>
      </c>
      <c r="N8" s="20">
        <v>56</v>
      </c>
      <c r="O8" s="22">
        <v>50</v>
      </c>
      <c r="P8" s="20">
        <v>20</v>
      </c>
      <c r="Q8" s="20">
        <v>130</v>
      </c>
      <c r="R8" s="20">
        <v>80</v>
      </c>
      <c r="S8" s="20">
        <v>87</v>
      </c>
      <c r="T8" s="22">
        <v>123</v>
      </c>
      <c r="U8" s="20">
        <v>24</v>
      </c>
      <c r="V8" s="20">
        <v>140</v>
      </c>
      <c r="W8" s="20">
        <v>80</v>
      </c>
      <c r="X8" s="20">
        <v>71</v>
      </c>
      <c r="Y8" s="43">
        <v>-18.390804597701148</v>
      </c>
      <c r="Z8" s="20">
        <v>1</v>
      </c>
      <c r="AA8" s="22">
        <v>2</v>
      </c>
      <c r="AB8" s="20">
        <v>2</v>
      </c>
      <c r="AC8" s="20">
        <v>2</v>
      </c>
      <c r="AD8" s="24">
        <v>399</v>
      </c>
      <c r="AE8" s="25">
        <v>526.41778124999996</v>
      </c>
      <c r="AF8" s="26">
        <v>75.795312052825921</v>
      </c>
      <c r="AG8" s="7">
        <v>753</v>
      </c>
      <c r="AH8" s="1">
        <v>15.5</v>
      </c>
      <c r="AI8" s="1">
        <v>37.9</v>
      </c>
      <c r="AJ8" s="2">
        <v>-1.42</v>
      </c>
      <c r="AK8" s="1">
        <v>80</v>
      </c>
      <c r="AL8" s="1">
        <v>14.5</v>
      </c>
      <c r="AM8" s="1">
        <v>62.1</v>
      </c>
      <c r="AN8" s="1">
        <v>1.63</v>
      </c>
      <c r="AO8" s="1">
        <v>753</v>
      </c>
      <c r="AP8" s="1">
        <v>80</v>
      </c>
      <c r="AQ8" s="1">
        <v>63</v>
      </c>
      <c r="AR8" s="1">
        <v>88</v>
      </c>
      <c r="AS8" s="1">
        <v>15</v>
      </c>
      <c r="AT8" s="1">
        <v>15.5</v>
      </c>
      <c r="AU8" s="2">
        <v>5</v>
      </c>
      <c r="AV8" s="2">
        <v>1.08</v>
      </c>
      <c r="AW8" s="2">
        <v>3.6</v>
      </c>
      <c r="AX8" s="1">
        <v>163</v>
      </c>
      <c r="AY8" s="1">
        <v>14.5</v>
      </c>
      <c r="AZ8" s="1">
        <v>11</v>
      </c>
      <c r="BA8" s="1">
        <v>18.100000000000001</v>
      </c>
      <c r="BB8" s="1">
        <v>1.641</v>
      </c>
      <c r="BC8" s="1">
        <v>1.155</v>
      </c>
      <c r="BD8" s="1">
        <v>1.288</v>
      </c>
      <c r="BE8" s="12">
        <v>81</v>
      </c>
      <c r="BF8" s="1">
        <v>13</v>
      </c>
      <c r="BG8" s="1">
        <v>47</v>
      </c>
      <c r="BH8" s="1">
        <v>20</v>
      </c>
      <c r="BI8" s="1">
        <v>69.47</v>
      </c>
      <c r="BJ8" s="1">
        <v>30.04</v>
      </c>
      <c r="BK8" s="1">
        <v>2.3130000000000002</v>
      </c>
      <c r="BL8" s="22">
        <v>1</v>
      </c>
    </row>
    <row r="9" spans="1:64" x14ac:dyDescent="0.25">
      <c r="A9" s="20">
        <v>5</v>
      </c>
      <c r="B9" s="22">
        <v>42</v>
      </c>
      <c r="C9" s="1">
        <v>49</v>
      </c>
      <c r="D9" s="2">
        <v>1.66</v>
      </c>
      <c r="E9" s="1">
        <v>17.781971258528088</v>
      </c>
      <c r="F9" s="1">
        <v>19.8</v>
      </c>
      <c r="G9" s="1">
        <v>9</v>
      </c>
      <c r="H9" s="23">
        <v>0.125</v>
      </c>
      <c r="I9" s="7">
        <v>58</v>
      </c>
      <c r="J9" s="1">
        <v>61</v>
      </c>
      <c r="K9" s="1">
        <v>62</v>
      </c>
      <c r="L9" s="23">
        <v>0.93548387096774188</v>
      </c>
      <c r="M9" s="20">
        <v>98</v>
      </c>
      <c r="N9" s="20">
        <v>57</v>
      </c>
      <c r="O9" s="22">
        <v>93</v>
      </c>
      <c r="P9" s="20">
        <v>24</v>
      </c>
      <c r="Q9" s="20">
        <v>120</v>
      </c>
      <c r="R9" s="20">
        <v>80</v>
      </c>
      <c r="S9" s="20">
        <v>83</v>
      </c>
      <c r="T9" s="22">
        <v>93</v>
      </c>
      <c r="U9" s="20">
        <v>28</v>
      </c>
      <c r="V9" s="20">
        <v>130</v>
      </c>
      <c r="W9" s="20">
        <v>80</v>
      </c>
      <c r="X9" s="20">
        <v>83</v>
      </c>
      <c r="Y9" s="43">
        <v>0</v>
      </c>
      <c r="Z9" s="20">
        <v>2</v>
      </c>
      <c r="AA9" s="22">
        <v>0</v>
      </c>
      <c r="AB9" s="20">
        <v>0</v>
      </c>
      <c r="AC9" s="20">
        <v>0</v>
      </c>
      <c r="AD9" s="24">
        <v>524</v>
      </c>
      <c r="AE9" s="25">
        <v>608.09979997096832</v>
      </c>
      <c r="AF9" s="26">
        <v>86.170066167595621</v>
      </c>
      <c r="AG9" s="7">
        <v>837</v>
      </c>
      <c r="AH9" s="1">
        <v>70.900000000000006</v>
      </c>
      <c r="AI9" s="1">
        <v>25.2</v>
      </c>
      <c r="AJ9" s="2">
        <v>0.28999999999999998</v>
      </c>
      <c r="AK9" s="1">
        <v>72</v>
      </c>
      <c r="AL9" s="1">
        <v>4.3</v>
      </c>
      <c r="AM9" s="1">
        <v>74.8</v>
      </c>
      <c r="AN9" s="1">
        <v>-0.31</v>
      </c>
      <c r="AO9" s="1">
        <v>837</v>
      </c>
      <c r="AP9" s="1">
        <v>72</v>
      </c>
      <c r="AQ9" s="1">
        <v>49</v>
      </c>
      <c r="AR9" s="1">
        <v>195</v>
      </c>
      <c r="AS9" s="1">
        <v>111.3</v>
      </c>
      <c r="AT9" s="1">
        <v>70.900000000000006</v>
      </c>
      <c r="AU9" s="2">
        <v>79</v>
      </c>
      <c r="AV9" s="2">
        <v>27.62</v>
      </c>
      <c r="AW9" s="2">
        <v>12.48</v>
      </c>
      <c r="AX9" s="1">
        <v>687</v>
      </c>
      <c r="AY9" s="1">
        <v>4.3</v>
      </c>
      <c r="AZ9" s="1">
        <v>50.2</v>
      </c>
      <c r="BA9" s="1">
        <v>149</v>
      </c>
      <c r="BB9" s="1">
        <v>2.9670000000000001</v>
      </c>
      <c r="BC9" s="1">
        <v>0.6</v>
      </c>
      <c r="BD9" s="1">
        <v>0.57999999999999996</v>
      </c>
      <c r="BE9" s="12">
        <v>7136</v>
      </c>
      <c r="BF9" s="1">
        <v>1095</v>
      </c>
      <c r="BG9" s="1">
        <v>5508</v>
      </c>
      <c r="BH9" s="1">
        <v>533</v>
      </c>
      <c r="BI9" s="1">
        <v>91.18</v>
      </c>
      <c r="BJ9" s="1">
        <v>8.82</v>
      </c>
      <c r="BK9" s="1">
        <v>10.343</v>
      </c>
      <c r="BL9" s="22">
        <v>1</v>
      </c>
    </row>
    <row r="10" spans="1:64" x14ac:dyDescent="0.25">
      <c r="A10" s="20">
        <v>6</v>
      </c>
      <c r="B10" s="22">
        <v>48</v>
      </c>
      <c r="C10" s="1">
        <v>70</v>
      </c>
      <c r="D10" s="2">
        <v>1.61</v>
      </c>
      <c r="E10" s="1">
        <v>27.005130974885226</v>
      </c>
      <c r="F10" s="1">
        <v>13.6</v>
      </c>
      <c r="G10" s="1">
        <v>28</v>
      </c>
      <c r="H10" s="23">
        <v>0</v>
      </c>
      <c r="I10" s="7">
        <v>92</v>
      </c>
      <c r="J10" s="1">
        <v>88</v>
      </c>
      <c r="K10" s="1">
        <v>93</v>
      </c>
      <c r="L10" s="23">
        <v>0.989247311827957</v>
      </c>
      <c r="M10" s="20">
        <v>69</v>
      </c>
      <c r="N10" s="20">
        <v>64</v>
      </c>
      <c r="O10" s="22">
        <v>71</v>
      </c>
      <c r="P10" s="20">
        <v>20</v>
      </c>
      <c r="Q10" s="20">
        <v>120</v>
      </c>
      <c r="R10" s="20">
        <v>80</v>
      </c>
      <c r="S10" s="20"/>
      <c r="T10" s="22">
        <v>137</v>
      </c>
      <c r="U10" s="20">
        <v>28</v>
      </c>
      <c r="V10" s="20">
        <v>140</v>
      </c>
      <c r="W10" s="20">
        <v>80</v>
      </c>
      <c r="X10" s="20"/>
      <c r="Y10" s="43"/>
      <c r="Z10" s="20"/>
      <c r="AA10" s="22">
        <v>0</v>
      </c>
      <c r="AB10" s="20">
        <v>0</v>
      </c>
      <c r="AC10" s="20">
        <v>0</v>
      </c>
      <c r="AD10" s="24">
        <v>476</v>
      </c>
      <c r="AE10" s="25">
        <v>545.15301215230909</v>
      </c>
      <c r="AF10" s="26">
        <v>87.31493532810407</v>
      </c>
      <c r="AG10" s="7">
        <v>471</v>
      </c>
      <c r="AH10" s="1">
        <v>5</v>
      </c>
      <c r="AI10" s="1">
        <v>28.6</v>
      </c>
      <c r="AJ10" s="2">
        <v>-3.47</v>
      </c>
      <c r="AK10" s="1">
        <v>127</v>
      </c>
      <c r="AL10" s="1">
        <v>31.8</v>
      </c>
      <c r="AM10" s="1">
        <v>71.400000000000006</v>
      </c>
      <c r="AN10" s="1">
        <v>8.4600000000000009</v>
      </c>
      <c r="AO10" s="1">
        <v>471</v>
      </c>
      <c r="AP10" s="1">
        <v>127</v>
      </c>
      <c r="AQ10" s="1">
        <v>89</v>
      </c>
      <c r="AR10" s="1">
        <v>142</v>
      </c>
      <c r="AS10" s="1">
        <v>6.8</v>
      </c>
      <c r="AT10" s="1">
        <v>5</v>
      </c>
      <c r="AU10" s="2">
        <v>1</v>
      </c>
      <c r="AV10" s="2">
        <v>0.13</v>
      </c>
      <c r="AW10" s="2">
        <v>1.87</v>
      </c>
      <c r="AX10" s="1">
        <v>70</v>
      </c>
      <c r="AY10" s="1">
        <v>31.8</v>
      </c>
      <c r="AZ10" s="1">
        <v>3.6</v>
      </c>
      <c r="BA10" s="1">
        <v>8.9</v>
      </c>
      <c r="BB10" s="1">
        <v>2.4969999999999999</v>
      </c>
      <c r="BC10" s="1">
        <v>1.1339999999999999</v>
      </c>
      <c r="BD10" s="1">
        <v>1.1160000000000001</v>
      </c>
      <c r="BE10" s="12">
        <v>17</v>
      </c>
      <c r="BF10" s="1">
        <v>2</v>
      </c>
      <c r="BG10" s="1">
        <v>14</v>
      </c>
      <c r="BH10" s="1">
        <v>1</v>
      </c>
      <c r="BI10" s="1">
        <v>92.97</v>
      </c>
      <c r="BJ10" s="1">
        <v>7.02</v>
      </c>
      <c r="BK10" s="1">
        <v>13.234999999999999</v>
      </c>
      <c r="BL10" s="22">
        <v>1</v>
      </c>
    </row>
    <row r="11" spans="1:64" x14ac:dyDescent="0.25">
      <c r="A11" s="20">
        <v>7</v>
      </c>
      <c r="B11" s="22">
        <v>27</v>
      </c>
      <c r="C11" s="1">
        <v>66</v>
      </c>
      <c r="D11" s="2">
        <v>1.64</v>
      </c>
      <c r="E11" s="1">
        <v>24.538964901844146</v>
      </c>
      <c r="F11" s="1">
        <v>21.8</v>
      </c>
      <c r="G11" s="1">
        <v>7</v>
      </c>
      <c r="H11" s="23">
        <v>2</v>
      </c>
      <c r="I11" s="7">
        <v>88</v>
      </c>
      <c r="J11" s="1">
        <v>90</v>
      </c>
      <c r="K11" s="1">
        <v>84</v>
      </c>
      <c r="L11" s="23">
        <v>1.0476190476190477</v>
      </c>
      <c r="M11" s="20">
        <v>64</v>
      </c>
      <c r="N11" s="20">
        <v>45</v>
      </c>
      <c r="O11" s="22">
        <v>119</v>
      </c>
      <c r="P11" s="20">
        <v>20</v>
      </c>
      <c r="Q11" s="20">
        <v>110</v>
      </c>
      <c r="R11" s="20">
        <v>60</v>
      </c>
      <c r="S11" s="20">
        <v>98</v>
      </c>
      <c r="T11" s="22">
        <v>143</v>
      </c>
      <c r="U11" s="20">
        <v>28</v>
      </c>
      <c r="V11" s="20">
        <v>130</v>
      </c>
      <c r="W11" s="20">
        <v>80</v>
      </c>
      <c r="X11" s="20">
        <v>98</v>
      </c>
      <c r="Y11" s="43">
        <v>0</v>
      </c>
      <c r="Z11" s="20">
        <v>2</v>
      </c>
      <c r="AA11" s="22">
        <v>1</v>
      </c>
      <c r="AB11" s="20">
        <v>3</v>
      </c>
      <c r="AC11" s="20">
        <v>4</v>
      </c>
      <c r="AD11" s="24">
        <v>523</v>
      </c>
      <c r="AE11" s="25">
        <v>631.135740928019</v>
      </c>
      <c r="AF11" s="26">
        <v>82.866484352634401</v>
      </c>
      <c r="AG11" s="7">
        <v>380</v>
      </c>
      <c r="AH11" s="1">
        <v>5.5</v>
      </c>
      <c r="AI11" s="1">
        <v>37.799999999999997</v>
      </c>
      <c r="AJ11" s="2">
        <v>-4.2</v>
      </c>
      <c r="AK11" s="1">
        <v>158</v>
      </c>
      <c r="AL11" s="1">
        <v>37.6</v>
      </c>
      <c r="AM11" s="1">
        <v>62.2</v>
      </c>
      <c r="AN11" s="1">
        <v>12.56</v>
      </c>
      <c r="AO11" s="1">
        <v>380</v>
      </c>
      <c r="AP11" s="1">
        <v>158</v>
      </c>
      <c r="AQ11" s="1">
        <v>115</v>
      </c>
      <c r="AR11" s="1">
        <v>177</v>
      </c>
      <c r="AS11" s="1">
        <v>5.3</v>
      </c>
      <c r="AT11" s="1">
        <v>5.5</v>
      </c>
      <c r="AU11" s="2">
        <v>1</v>
      </c>
      <c r="AV11" s="2">
        <v>0.11</v>
      </c>
      <c r="AW11" s="2">
        <v>1.36</v>
      </c>
      <c r="AX11" s="1">
        <v>64</v>
      </c>
      <c r="AY11" s="1">
        <v>37.6</v>
      </c>
      <c r="AZ11" s="1">
        <v>3.9</v>
      </c>
      <c r="BA11" s="1">
        <v>6.4</v>
      </c>
      <c r="BB11" s="1">
        <v>1.647</v>
      </c>
      <c r="BC11" s="1">
        <v>1.415</v>
      </c>
      <c r="BD11" s="1">
        <v>1.5669999999999999</v>
      </c>
      <c r="BE11" s="12">
        <v>5</v>
      </c>
      <c r="BF11" s="1">
        <v>1</v>
      </c>
      <c r="BG11" s="1">
        <v>3</v>
      </c>
      <c r="BH11" s="1">
        <v>1</v>
      </c>
      <c r="BI11" s="1">
        <v>64.72</v>
      </c>
      <c r="BJ11" s="1">
        <v>35.090000000000003</v>
      </c>
      <c r="BK11" s="1">
        <v>5</v>
      </c>
      <c r="BL11" s="22">
        <v>1</v>
      </c>
    </row>
    <row r="12" spans="1:64" x14ac:dyDescent="0.25">
      <c r="A12" s="20">
        <v>8</v>
      </c>
      <c r="B12" s="22">
        <v>37</v>
      </c>
      <c r="C12" s="1">
        <v>72</v>
      </c>
      <c r="D12" s="2">
        <v>1.57</v>
      </c>
      <c r="E12" s="1">
        <v>29.210109943608259</v>
      </c>
      <c r="F12" s="1">
        <v>20.2</v>
      </c>
      <c r="G12" s="1">
        <v>18</v>
      </c>
      <c r="H12" s="23">
        <v>1.25</v>
      </c>
      <c r="I12" s="7">
        <v>86</v>
      </c>
      <c r="J12" s="1">
        <v>83</v>
      </c>
      <c r="K12" s="1">
        <v>117</v>
      </c>
      <c r="L12" s="23">
        <v>0.7350427350427351</v>
      </c>
      <c r="M12" s="20">
        <v>48</v>
      </c>
      <c r="N12" s="20">
        <v>55</v>
      </c>
      <c r="O12" s="22">
        <v>67</v>
      </c>
      <c r="P12" s="20">
        <v>16</v>
      </c>
      <c r="Q12" s="20">
        <v>130</v>
      </c>
      <c r="R12" s="20">
        <v>80</v>
      </c>
      <c r="S12" s="20">
        <v>98</v>
      </c>
      <c r="T12" s="22">
        <v>106</v>
      </c>
      <c r="U12" s="20">
        <v>36</v>
      </c>
      <c r="V12" s="20">
        <v>160</v>
      </c>
      <c r="W12" s="20">
        <v>90</v>
      </c>
      <c r="X12" s="20">
        <v>99</v>
      </c>
      <c r="Y12" s="43">
        <v>1.0204081632653061</v>
      </c>
      <c r="Z12" s="20">
        <v>2</v>
      </c>
      <c r="AA12" s="22">
        <v>2</v>
      </c>
      <c r="AB12" s="20">
        <v>5</v>
      </c>
      <c r="AC12" s="20">
        <v>5</v>
      </c>
      <c r="AD12" s="24">
        <v>420</v>
      </c>
      <c r="AE12" s="25">
        <v>569.36726457462782</v>
      </c>
      <c r="AF12" s="26">
        <v>73.766095476841372</v>
      </c>
      <c r="AG12" s="7">
        <v>506</v>
      </c>
      <c r="AH12" s="1">
        <v>20</v>
      </c>
      <c r="AI12" s="1">
        <v>39.5</v>
      </c>
      <c r="AJ12" s="2">
        <v>-2.66</v>
      </c>
      <c r="AK12" s="1">
        <v>119</v>
      </c>
      <c r="AL12" s="1">
        <v>16</v>
      </c>
      <c r="AM12" s="1">
        <v>60.5</v>
      </c>
      <c r="AN12" s="1">
        <v>4.7699999999999996</v>
      </c>
      <c r="AO12" s="1">
        <v>506</v>
      </c>
      <c r="AP12" s="1">
        <v>119</v>
      </c>
      <c r="AQ12" s="1">
        <v>86</v>
      </c>
      <c r="AR12" s="1">
        <v>131</v>
      </c>
      <c r="AS12" s="1">
        <v>18.399999999999999</v>
      </c>
      <c r="AT12" s="1">
        <v>20</v>
      </c>
      <c r="AU12" s="2">
        <v>10</v>
      </c>
      <c r="AV12" s="2">
        <v>1.72</v>
      </c>
      <c r="AW12" s="2">
        <v>2.91</v>
      </c>
      <c r="AX12" s="1">
        <v>190</v>
      </c>
      <c r="AY12" s="1">
        <v>16</v>
      </c>
      <c r="AZ12" s="1">
        <v>14.1</v>
      </c>
      <c r="BA12" s="1">
        <v>21.6</v>
      </c>
      <c r="BB12" s="1">
        <v>1.532</v>
      </c>
      <c r="BC12" s="1">
        <v>1.0620000000000001</v>
      </c>
      <c r="BD12" s="1">
        <v>1.0740000000000001</v>
      </c>
      <c r="BE12" s="12">
        <v>114</v>
      </c>
      <c r="BF12" s="1">
        <v>8</v>
      </c>
      <c r="BG12" s="1">
        <v>74</v>
      </c>
      <c r="BH12" s="1">
        <v>32</v>
      </c>
      <c r="BI12" s="1">
        <v>69.95</v>
      </c>
      <c r="BJ12" s="1">
        <v>29.98</v>
      </c>
      <c r="BK12" s="1">
        <v>2.3340000000000001</v>
      </c>
      <c r="BL12" s="22">
        <v>1</v>
      </c>
    </row>
    <row r="13" spans="1:64" x14ac:dyDescent="0.25">
      <c r="A13" s="20">
        <v>9</v>
      </c>
      <c r="B13" s="22">
        <v>55</v>
      </c>
      <c r="C13" s="1">
        <v>103</v>
      </c>
      <c r="D13" s="2">
        <v>1.69</v>
      </c>
      <c r="E13" s="1">
        <v>36.063163054514902</v>
      </c>
      <c r="F13" s="1"/>
      <c r="G13" s="1"/>
      <c r="H13" s="23">
        <v>0.5</v>
      </c>
      <c r="I13" s="7">
        <v>76</v>
      </c>
      <c r="J13" s="1">
        <v>80</v>
      </c>
      <c r="K13" s="1">
        <v>31</v>
      </c>
      <c r="L13" s="23">
        <v>2.4516129032258065</v>
      </c>
      <c r="M13" s="20">
        <v>68</v>
      </c>
      <c r="N13" s="20">
        <v>54</v>
      </c>
      <c r="O13" s="22">
        <v>88</v>
      </c>
      <c r="P13" s="20">
        <v>20</v>
      </c>
      <c r="Q13" s="20">
        <v>150</v>
      </c>
      <c r="R13" s="20">
        <v>86</v>
      </c>
      <c r="S13" s="20">
        <v>98</v>
      </c>
      <c r="T13" s="22">
        <v>111</v>
      </c>
      <c r="U13" s="20">
        <v>36</v>
      </c>
      <c r="V13" s="20">
        <v>156</v>
      </c>
      <c r="W13" s="20">
        <v>79</v>
      </c>
      <c r="X13" s="20">
        <v>85</v>
      </c>
      <c r="Y13" s="43">
        <v>-13.26530612244898</v>
      </c>
      <c r="Z13" s="20">
        <v>1</v>
      </c>
      <c r="AA13" s="22">
        <v>0</v>
      </c>
      <c r="AB13" s="20">
        <v>1</v>
      </c>
      <c r="AC13" s="20">
        <v>1</v>
      </c>
      <c r="AD13" s="24">
        <v>450</v>
      </c>
      <c r="AE13" s="25">
        <v>483.14489592451247</v>
      </c>
      <c r="AF13" s="26">
        <v>93.139760721038215</v>
      </c>
      <c r="AG13" s="7">
        <v>449</v>
      </c>
      <c r="AH13" s="1">
        <v>4.2</v>
      </c>
      <c r="AI13" s="1">
        <v>31.8</v>
      </c>
      <c r="AJ13" s="2">
        <v>-3.68</v>
      </c>
      <c r="AK13" s="1">
        <v>134</v>
      </c>
      <c r="AL13" s="1">
        <v>36.6</v>
      </c>
      <c r="AM13" s="1">
        <v>68.2</v>
      </c>
      <c r="AN13" s="1">
        <v>10</v>
      </c>
      <c r="AO13" s="1">
        <v>449</v>
      </c>
      <c r="AP13" s="1">
        <v>134</v>
      </c>
      <c r="AQ13" s="1">
        <v>82</v>
      </c>
      <c r="AR13" s="1">
        <v>144</v>
      </c>
      <c r="AS13" s="1">
        <v>5</v>
      </c>
      <c r="AT13" s="1">
        <v>4.2</v>
      </c>
      <c r="AU13" s="2">
        <v>0</v>
      </c>
      <c r="AV13" s="2">
        <v>0</v>
      </c>
      <c r="AW13" s="2">
        <v>1.95</v>
      </c>
      <c r="AX13" s="1">
        <v>58</v>
      </c>
      <c r="AY13" s="1">
        <v>36.6</v>
      </c>
      <c r="AZ13" s="1">
        <v>3</v>
      </c>
      <c r="BA13" s="1">
        <v>6.4</v>
      </c>
      <c r="BB13" s="1">
        <v>2.141</v>
      </c>
      <c r="BC13" s="1">
        <v>1.2190000000000001</v>
      </c>
      <c r="BD13" s="1">
        <v>1.2310000000000001</v>
      </c>
      <c r="BE13" s="12">
        <v>2</v>
      </c>
      <c r="BF13" s="1">
        <v>1</v>
      </c>
      <c r="BG13" s="1">
        <v>1</v>
      </c>
      <c r="BH13" s="1">
        <v>0</v>
      </c>
      <c r="BI13" s="1">
        <v>81.430000000000007</v>
      </c>
      <c r="BJ13" s="1">
        <v>18.38</v>
      </c>
      <c r="BK13" s="1">
        <v>4.4320000000000004</v>
      </c>
      <c r="BL13" s="22">
        <v>1</v>
      </c>
    </row>
    <row r="14" spans="1:64" x14ac:dyDescent="0.25">
      <c r="A14" s="20">
        <v>10</v>
      </c>
      <c r="B14" s="22">
        <v>49</v>
      </c>
      <c r="C14" s="1">
        <v>55</v>
      </c>
      <c r="D14" s="2">
        <v>1.55</v>
      </c>
      <c r="E14" s="1">
        <v>22.892819979188342</v>
      </c>
      <c r="F14" s="1">
        <v>25.6</v>
      </c>
      <c r="G14" s="1">
        <v>18</v>
      </c>
      <c r="H14" s="23">
        <v>1.5</v>
      </c>
      <c r="I14" s="7">
        <v>76</v>
      </c>
      <c r="J14" s="1">
        <v>80</v>
      </c>
      <c r="K14" s="1">
        <v>31</v>
      </c>
      <c r="L14" s="23">
        <v>2.4516129032258065</v>
      </c>
      <c r="M14" s="20">
        <v>45</v>
      </c>
      <c r="N14" s="20">
        <v>39</v>
      </c>
      <c r="O14" s="22">
        <v>89</v>
      </c>
      <c r="P14" s="20">
        <v>24</v>
      </c>
      <c r="Q14" s="20">
        <v>97</v>
      </c>
      <c r="R14" s="20">
        <v>54</v>
      </c>
      <c r="S14" s="20">
        <v>98</v>
      </c>
      <c r="T14" s="22">
        <v>98</v>
      </c>
      <c r="U14" s="20">
        <v>32</v>
      </c>
      <c r="V14" s="20">
        <v>94</v>
      </c>
      <c r="W14" s="20">
        <v>64</v>
      </c>
      <c r="X14" s="20">
        <v>97</v>
      </c>
      <c r="Y14" s="43">
        <v>-1.0204081632653061</v>
      </c>
      <c r="Z14" s="20">
        <v>2</v>
      </c>
      <c r="AA14" s="22">
        <v>6</v>
      </c>
      <c r="AB14" s="20">
        <v>7</v>
      </c>
      <c r="AC14" s="20">
        <v>10</v>
      </c>
      <c r="AD14" s="24">
        <v>519</v>
      </c>
      <c r="AE14" s="25">
        <v>562.41646670135276</v>
      </c>
      <c r="AF14" s="26">
        <v>92.280370637795144</v>
      </c>
      <c r="AG14" s="7">
        <v>506</v>
      </c>
      <c r="AH14" s="1">
        <v>4.9000000000000004</v>
      </c>
      <c r="AI14" s="1">
        <v>29.6</v>
      </c>
      <c r="AJ14" s="2">
        <v>-3.17</v>
      </c>
      <c r="AK14" s="1">
        <v>119</v>
      </c>
      <c r="AL14" s="1">
        <v>42.3</v>
      </c>
      <c r="AM14" s="1">
        <v>70.400000000000006</v>
      </c>
      <c r="AN14" s="1">
        <v>9.32</v>
      </c>
      <c r="AO14" s="1">
        <v>506</v>
      </c>
      <c r="AP14" s="1">
        <v>119</v>
      </c>
      <c r="AQ14" s="1">
        <v>86</v>
      </c>
      <c r="AR14" s="1">
        <v>129</v>
      </c>
      <c r="AS14" s="1">
        <v>6.3</v>
      </c>
      <c r="AT14" s="1">
        <v>4.9000000000000004</v>
      </c>
      <c r="AU14" s="2">
        <v>0</v>
      </c>
      <c r="AV14" s="2">
        <v>0</v>
      </c>
      <c r="AW14" s="2">
        <v>1.78</v>
      </c>
      <c r="AX14" s="1">
        <v>40</v>
      </c>
      <c r="AY14" s="1">
        <v>42.3</v>
      </c>
      <c r="AZ14" s="1">
        <v>3.4</v>
      </c>
      <c r="BA14" s="1">
        <v>8.1999999999999993</v>
      </c>
      <c r="BB14" s="1">
        <v>2.3809999999999998</v>
      </c>
      <c r="BC14" s="1">
        <v>1.276</v>
      </c>
      <c r="BD14" s="1">
        <v>1.46</v>
      </c>
      <c r="BE14" s="12">
        <v>10</v>
      </c>
      <c r="BF14" s="1">
        <v>1</v>
      </c>
      <c r="BG14" s="1">
        <v>8</v>
      </c>
      <c r="BH14" s="1">
        <v>1</v>
      </c>
      <c r="BI14" s="1">
        <v>91.57</v>
      </c>
      <c r="BJ14" s="1">
        <v>8.41</v>
      </c>
      <c r="BK14" s="1">
        <v>10.888999999999999</v>
      </c>
      <c r="BL14" s="22">
        <v>1</v>
      </c>
    </row>
    <row r="15" spans="1:64" x14ac:dyDescent="0.25">
      <c r="A15" s="20">
        <v>11</v>
      </c>
      <c r="B15" s="22">
        <v>27</v>
      </c>
      <c r="C15" s="1">
        <v>68</v>
      </c>
      <c r="D15" s="2">
        <v>1.61</v>
      </c>
      <c r="E15" s="1">
        <v>26.23355580417422</v>
      </c>
      <c r="F15" s="1">
        <v>26.8</v>
      </c>
      <c r="G15" s="1">
        <v>34</v>
      </c>
      <c r="H15" s="23">
        <v>0.75</v>
      </c>
      <c r="I15" s="7">
        <v>98</v>
      </c>
      <c r="J15" s="1">
        <v>97</v>
      </c>
      <c r="K15" s="1">
        <v>89</v>
      </c>
      <c r="L15" s="23">
        <v>1.101123595505618</v>
      </c>
      <c r="M15" s="20">
        <v>101</v>
      </c>
      <c r="N15" s="20">
        <v>64</v>
      </c>
      <c r="O15" s="22">
        <v>81</v>
      </c>
      <c r="P15" s="20">
        <v>16</v>
      </c>
      <c r="Q15" s="20">
        <v>120</v>
      </c>
      <c r="R15" s="20">
        <v>70</v>
      </c>
      <c r="S15" s="20">
        <v>94</v>
      </c>
      <c r="T15" s="22">
        <v>121</v>
      </c>
      <c r="U15" s="20">
        <v>28</v>
      </c>
      <c r="V15" s="20">
        <v>140</v>
      </c>
      <c r="W15" s="20">
        <v>80</v>
      </c>
      <c r="X15" s="20">
        <v>96</v>
      </c>
      <c r="Y15" s="43">
        <v>2.1276595744680851</v>
      </c>
      <c r="Z15" s="20">
        <v>2</v>
      </c>
      <c r="AA15" s="22">
        <v>4</v>
      </c>
      <c r="AB15" s="20">
        <v>7</v>
      </c>
      <c r="AC15" s="20">
        <v>8</v>
      </c>
      <c r="AD15" s="24">
        <v>479</v>
      </c>
      <c r="AE15" s="25">
        <v>622.88308323367153</v>
      </c>
      <c r="AF15" s="26">
        <v>76.900467020759578</v>
      </c>
      <c r="AG15" s="7">
        <v>397</v>
      </c>
      <c r="AH15" s="1">
        <v>5.2</v>
      </c>
      <c r="AI15" s="1">
        <v>23.1</v>
      </c>
      <c r="AJ15" s="2">
        <v>-4.0999999999999996</v>
      </c>
      <c r="AK15" s="1">
        <v>151</v>
      </c>
      <c r="AL15" s="1">
        <v>34.6</v>
      </c>
      <c r="AM15" s="1">
        <v>76.900000000000006</v>
      </c>
      <c r="AN15" s="1">
        <v>11.41</v>
      </c>
      <c r="AO15" s="1">
        <v>397</v>
      </c>
      <c r="AP15" s="1">
        <v>151</v>
      </c>
      <c r="AQ15" s="1">
        <v>87</v>
      </c>
      <c r="AR15" s="1">
        <v>169</v>
      </c>
      <c r="AS15" s="1">
        <v>9</v>
      </c>
      <c r="AT15" s="1">
        <v>5.2</v>
      </c>
      <c r="AU15" s="2">
        <v>2</v>
      </c>
      <c r="AV15" s="2">
        <v>0.22</v>
      </c>
      <c r="AW15" s="2">
        <v>1.73</v>
      </c>
      <c r="AX15" s="1">
        <v>73</v>
      </c>
      <c r="AY15" s="1">
        <v>34.6</v>
      </c>
      <c r="AZ15" s="1">
        <v>3.7</v>
      </c>
      <c r="BA15" s="1">
        <v>12.2</v>
      </c>
      <c r="BB15" s="1">
        <v>3.3290000000000002</v>
      </c>
      <c r="BC15" s="1">
        <v>0.99299999999999999</v>
      </c>
      <c r="BD15" s="1">
        <v>0.95099999999999996</v>
      </c>
      <c r="BE15" s="12">
        <v>18</v>
      </c>
      <c r="BF15" s="1">
        <v>8</v>
      </c>
      <c r="BG15" s="1">
        <v>8</v>
      </c>
      <c r="BH15" s="1">
        <v>1</v>
      </c>
      <c r="BI15" s="1">
        <v>87.19</v>
      </c>
      <c r="BJ15" s="1">
        <v>12.8</v>
      </c>
      <c r="BK15" s="1">
        <v>6.8140000000000001</v>
      </c>
      <c r="BL15" s="22">
        <v>1</v>
      </c>
    </row>
    <row r="16" spans="1:64" x14ac:dyDescent="0.25">
      <c r="A16" s="20">
        <v>12</v>
      </c>
      <c r="B16" s="22">
        <v>30</v>
      </c>
      <c r="C16" s="1">
        <v>58.2</v>
      </c>
      <c r="D16" s="2">
        <v>1.62</v>
      </c>
      <c r="E16" s="1">
        <v>22.176497485139457</v>
      </c>
      <c r="F16" s="1">
        <v>19.399999999999999</v>
      </c>
      <c r="G16" s="1">
        <v>12</v>
      </c>
      <c r="H16" s="23">
        <v>0.5</v>
      </c>
      <c r="I16" s="7">
        <v>66</v>
      </c>
      <c r="J16" s="1">
        <v>67</v>
      </c>
      <c r="K16" s="1">
        <v>58</v>
      </c>
      <c r="L16" s="23">
        <v>1.1379310344827587</v>
      </c>
      <c r="M16" s="20">
        <v>55</v>
      </c>
      <c r="N16" s="20">
        <v>48</v>
      </c>
      <c r="O16" s="22">
        <v>91</v>
      </c>
      <c r="P16" s="20">
        <v>20</v>
      </c>
      <c r="Q16" s="20">
        <v>110</v>
      </c>
      <c r="R16" s="20">
        <v>70</v>
      </c>
      <c r="S16" s="20">
        <v>98</v>
      </c>
      <c r="T16" s="22">
        <v>82</v>
      </c>
      <c r="U16" s="20">
        <v>32</v>
      </c>
      <c r="V16" s="20">
        <v>120</v>
      </c>
      <c r="W16" s="20">
        <v>80</v>
      </c>
      <c r="X16" s="20">
        <v>100</v>
      </c>
      <c r="Y16" s="43">
        <v>2.0408163265306123</v>
      </c>
      <c r="Z16" s="20">
        <v>2</v>
      </c>
      <c r="AA16" s="22">
        <v>1</v>
      </c>
      <c r="AB16" s="20">
        <v>1</v>
      </c>
      <c r="AC16" s="20">
        <v>1</v>
      </c>
      <c r="AD16" s="24">
        <v>540</v>
      </c>
      <c r="AE16" s="25">
        <v>630.21045724737087</v>
      </c>
      <c r="AF16" s="26">
        <v>85.685661637321672</v>
      </c>
      <c r="AG16" s="7">
        <v>507</v>
      </c>
      <c r="AH16" s="1">
        <v>7.2</v>
      </c>
      <c r="AI16" s="1">
        <v>24.8</v>
      </c>
      <c r="AJ16" s="2">
        <v>-3.14</v>
      </c>
      <c r="AK16" s="1">
        <v>118</v>
      </c>
      <c r="AL16" s="1">
        <v>22.8</v>
      </c>
      <c r="AM16" s="1">
        <v>75.2</v>
      </c>
      <c r="AN16" s="1">
        <v>6.03</v>
      </c>
      <c r="AO16" s="1">
        <v>507</v>
      </c>
      <c r="AP16" s="1">
        <v>118</v>
      </c>
      <c r="AQ16" s="1">
        <v>96</v>
      </c>
      <c r="AR16" s="1">
        <v>130</v>
      </c>
      <c r="AS16" s="1">
        <v>11.4</v>
      </c>
      <c r="AT16" s="1">
        <v>7.2</v>
      </c>
      <c r="AU16" s="2">
        <v>0</v>
      </c>
      <c r="AV16" s="2">
        <v>0</v>
      </c>
      <c r="AW16" s="2">
        <v>3.57</v>
      </c>
      <c r="AX16" s="1">
        <v>72</v>
      </c>
      <c r="AY16" s="1">
        <v>22.8</v>
      </c>
      <c r="AZ16" s="1">
        <v>5.0999999999999996</v>
      </c>
      <c r="BA16" s="1">
        <v>15.4</v>
      </c>
      <c r="BB16" s="1">
        <v>3.03</v>
      </c>
      <c r="BC16" s="1">
        <v>1.3240000000000001</v>
      </c>
      <c r="BD16" s="1">
        <v>1.4990000000000001</v>
      </c>
      <c r="BE16" s="12">
        <v>89</v>
      </c>
      <c r="BF16" s="1">
        <v>6</v>
      </c>
      <c r="BG16" s="1">
        <v>81</v>
      </c>
      <c r="BH16" s="1">
        <v>2</v>
      </c>
      <c r="BI16" s="1">
        <v>97.19</v>
      </c>
      <c r="BJ16" s="1">
        <v>2.81</v>
      </c>
      <c r="BK16" s="1">
        <v>34.573</v>
      </c>
      <c r="BL16" s="22">
        <v>1</v>
      </c>
    </row>
    <row r="17" spans="1:64" x14ac:dyDescent="0.25">
      <c r="A17" s="20">
        <v>13</v>
      </c>
      <c r="B17" s="22">
        <v>55</v>
      </c>
      <c r="C17" s="1">
        <v>65.5</v>
      </c>
      <c r="D17" s="2">
        <v>1.7</v>
      </c>
      <c r="E17" s="1">
        <v>22.664359861591699</v>
      </c>
      <c r="F17" s="1">
        <v>9.1999999999999993</v>
      </c>
      <c r="G17" s="1">
        <v>2</v>
      </c>
      <c r="H17" s="23">
        <v>2.1</v>
      </c>
      <c r="I17" s="7"/>
      <c r="J17" s="1"/>
      <c r="K17" s="1"/>
      <c r="L17" s="20"/>
      <c r="M17" s="20"/>
      <c r="N17" s="20"/>
      <c r="O17" s="22">
        <v>80</v>
      </c>
      <c r="P17" s="29">
        <v>27</v>
      </c>
      <c r="Q17" s="20">
        <v>113</v>
      </c>
      <c r="R17" s="20">
        <v>80</v>
      </c>
      <c r="S17" s="20">
        <v>98</v>
      </c>
      <c r="T17" s="22">
        <v>82</v>
      </c>
      <c r="U17" s="29">
        <v>40</v>
      </c>
      <c r="V17" s="20">
        <v>140</v>
      </c>
      <c r="W17" s="20">
        <v>90</v>
      </c>
      <c r="X17" s="20">
        <v>74</v>
      </c>
      <c r="Y17" s="43">
        <v>-24.489795918367346</v>
      </c>
      <c r="Z17" s="20">
        <v>1</v>
      </c>
      <c r="AA17" s="22">
        <v>4</v>
      </c>
      <c r="AB17" s="20">
        <v>5</v>
      </c>
      <c r="AC17" s="20">
        <v>7</v>
      </c>
      <c r="AD17" s="24">
        <v>437</v>
      </c>
      <c r="AE17" s="25">
        <v>548.39706747404841</v>
      </c>
      <c r="AF17" s="26">
        <v>79.686786439768838</v>
      </c>
      <c r="AG17" s="7">
        <v>619</v>
      </c>
      <c r="AH17" s="1">
        <v>99</v>
      </c>
      <c r="AI17" s="1">
        <v>56.7</v>
      </c>
      <c r="AJ17" s="2">
        <v>0.44</v>
      </c>
      <c r="AK17" s="1">
        <v>97</v>
      </c>
      <c r="AL17" s="1">
        <v>10.9</v>
      </c>
      <c r="AM17" s="1">
        <v>43.3</v>
      </c>
      <c r="AN17" s="1">
        <v>2</v>
      </c>
      <c r="AO17" s="1">
        <v>619</v>
      </c>
      <c r="AP17" s="1">
        <v>97</v>
      </c>
      <c r="AQ17" s="1">
        <v>76</v>
      </c>
      <c r="AR17" s="1">
        <v>111</v>
      </c>
      <c r="AS17" s="1">
        <v>62.3</v>
      </c>
      <c r="AT17" s="1">
        <v>99</v>
      </c>
      <c r="AU17" s="2">
        <v>163</v>
      </c>
      <c r="AV17" s="2">
        <v>34.1</v>
      </c>
      <c r="AW17" s="2">
        <v>5.32</v>
      </c>
      <c r="AX17" s="1">
        <v>272</v>
      </c>
      <c r="AY17" s="1">
        <v>10.9</v>
      </c>
      <c r="AZ17" s="1">
        <v>70.099999999999994</v>
      </c>
      <c r="BA17" s="1">
        <v>53.5</v>
      </c>
      <c r="BB17" s="1">
        <v>0.76300000000000001</v>
      </c>
      <c r="BC17" s="1">
        <v>0.96799999999999997</v>
      </c>
      <c r="BD17" s="1">
        <v>0.94099999999999995</v>
      </c>
      <c r="BE17" s="12">
        <v>1540</v>
      </c>
      <c r="BF17" s="1">
        <v>34</v>
      </c>
      <c r="BG17" s="1">
        <v>245</v>
      </c>
      <c r="BH17" s="1">
        <v>1250</v>
      </c>
      <c r="BI17" s="1">
        <v>16.3</v>
      </c>
      <c r="BJ17" s="1">
        <v>82.99</v>
      </c>
      <c r="BK17" s="1">
        <v>0.19600000000000001</v>
      </c>
      <c r="BL17" s="22">
        <v>1</v>
      </c>
    </row>
    <row r="18" spans="1:64" x14ac:dyDescent="0.25">
      <c r="A18" s="20">
        <v>14</v>
      </c>
      <c r="B18" s="22">
        <v>67</v>
      </c>
      <c r="C18" s="1">
        <v>42.5</v>
      </c>
      <c r="D18" s="2">
        <v>1.6</v>
      </c>
      <c r="E18" s="1">
        <v>16.601562499999996</v>
      </c>
      <c r="F18" s="1">
        <v>12.6</v>
      </c>
      <c r="G18" s="1">
        <v>1</v>
      </c>
      <c r="H18" s="23">
        <v>1</v>
      </c>
      <c r="I18" s="7">
        <v>75</v>
      </c>
      <c r="J18" s="1">
        <v>76</v>
      </c>
      <c r="K18" s="1">
        <v>71</v>
      </c>
      <c r="L18" s="23">
        <v>1.056338028169014</v>
      </c>
      <c r="M18" s="20">
        <v>34</v>
      </c>
      <c r="N18" s="20">
        <v>30</v>
      </c>
      <c r="O18" s="22">
        <v>85</v>
      </c>
      <c r="P18" s="20">
        <v>20</v>
      </c>
      <c r="Q18" s="20">
        <v>120</v>
      </c>
      <c r="R18" s="20">
        <v>70</v>
      </c>
      <c r="S18" s="20">
        <v>97</v>
      </c>
      <c r="T18" s="22">
        <v>97</v>
      </c>
      <c r="U18" s="20">
        <v>20</v>
      </c>
      <c r="V18" s="20">
        <v>130</v>
      </c>
      <c r="W18" s="20">
        <v>80</v>
      </c>
      <c r="X18" s="20">
        <v>96</v>
      </c>
      <c r="Y18" s="43">
        <v>-1.0309278350515463</v>
      </c>
      <c r="Z18" s="20">
        <v>2</v>
      </c>
      <c r="AA18" s="22">
        <v>3</v>
      </c>
      <c r="AB18" s="20">
        <v>5</v>
      </c>
      <c r="AC18" s="20">
        <v>5</v>
      </c>
      <c r="AD18" s="24">
        <v>452</v>
      </c>
      <c r="AE18" s="25">
        <v>555.11089062500002</v>
      </c>
      <c r="AF18" s="26">
        <v>81.42517245357817</v>
      </c>
      <c r="AG18" s="7">
        <v>557</v>
      </c>
      <c r="AH18" s="1">
        <v>5</v>
      </c>
      <c r="AI18" s="1">
        <v>30.3</v>
      </c>
      <c r="AJ18" s="2">
        <v>-2.8</v>
      </c>
      <c r="AK18" s="1">
        <v>108</v>
      </c>
      <c r="AL18" s="1">
        <v>31.9</v>
      </c>
      <c r="AM18" s="1">
        <v>69.7</v>
      </c>
      <c r="AN18" s="1">
        <v>6.5</v>
      </c>
      <c r="AO18" s="1">
        <v>557</v>
      </c>
      <c r="AP18" s="1">
        <v>108</v>
      </c>
      <c r="AQ18" s="1">
        <v>81</v>
      </c>
      <c r="AR18" s="1">
        <v>123</v>
      </c>
      <c r="AS18" s="1">
        <v>6.3</v>
      </c>
      <c r="AT18" s="1">
        <v>5</v>
      </c>
      <c r="AU18" s="2">
        <v>0</v>
      </c>
      <c r="AV18" s="2">
        <v>0</v>
      </c>
      <c r="AW18" s="2">
        <v>1.6</v>
      </c>
      <c r="AX18" s="1">
        <v>44</v>
      </c>
      <c r="AY18" s="1">
        <v>31.9</v>
      </c>
      <c r="AZ18" s="1">
        <v>3.5</v>
      </c>
      <c r="BA18" s="1">
        <v>8.1</v>
      </c>
      <c r="BB18" s="1">
        <v>2.3010000000000002</v>
      </c>
      <c r="BC18" s="1">
        <v>1.3560000000000001</v>
      </c>
      <c r="BD18" s="1">
        <v>1.6220000000000001</v>
      </c>
      <c r="BE18" s="12">
        <v>23</v>
      </c>
      <c r="BF18" s="1">
        <v>4</v>
      </c>
      <c r="BG18" s="1">
        <v>11</v>
      </c>
      <c r="BH18" s="1">
        <v>8</v>
      </c>
      <c r="BI18" s="1">
        <v>59.46</v>
      </c>
      <c r="BJ18" s="1">
        <v>40.24</v>
      </c>
      <c r="BK18" s="1">
        <v>1.478</v>
      </c>
      <c r="BL18" s="22">
        <v>1</v>
      </c>
    </row>
    <row r="19" spans="1:64" x14ac:dyDescent="0.25">
      <c r="A19" s="20">
        <v>15</v>
      </c>
      <c r="B19" s="22">
        <v>52</v>
      </c>
      <c r="C19" s="1">
        <v>73</v>
      </c>
      <c r="D19" s="2">
        <v>1.6</v>
      </c>
      <c r="E19" s="1">
        <v>28.515624999999993</v>
      </c>
      <c r="F19" s="1">
        <v>23.6</v>
      </c>
      <c r="G19" s="1">
        <v>7</v>
      </c>
      <c r="H19" s="23">
        <v>2</v>
      </c>
      <c r="I19" s="7">
        <v>78</v>
      </c>
      <c r="J19" s="1">
        <v>83</v>
      </c>
      <c r="K19" s="1">
        <v>60</v>
      </c>
      <c r="L19" s="23">
        <v>1.3</v>
      </c>
      <c r="M19" s="20">
        <v>69</v>
      </c>
      <c r="N19" s="20">
        <v>45</v>
      </c>
      <c r="O19" s="22">
        <v>88</v>
      </c>
      <c r="P19" s="20">
        <v>20</v>
      </c>
      <c r="Q19" s="20">
        <v>120</v>
      </c>
      <c r="R19" s="20">
        <v>80</v>
      </c>
      <c r="S19" s="20">
        <v>96</v>
      </c>
      <c r="T19" s="22">
        <v>98</v>
      </c>
      <c r="U19" s="20">
        <v>40</v>
      </c>
      <c r="V19" s="20">
        <v>130</v>
      </c>
      <c r="W19" s="20">
        <v>70</v>
      </c>
      <c r="X19" s="20">
        <v>96</v>
      </c>
      <c r="Y19" s="43">
        <v>0</v>
      </c>
      <c r="Z19" s="20">
        <v>2</v>
      </c>
      <c r="AA19" s="22">
        <v>5</v>
      </c>
      <c r="AB19" s="20">
        <v>5</v>
      </c>
      <c r="AC19" s="20">
        <v>6</v>
      </c>
      <c r="AD19" s="24">
        <v>497</v>
      </c>
      <c r="AE19" s="25">
        <v>527.15690625000002</v>
      </c>
      <c r="AF19" s="26">
        <v>94.27933014014269</v>
      </c>
      <c r="AG19" s="7">
        <v>448</v>
      </c>
      <c r="AH19" s="1">
        <v>3.1</v>
      </c>
      <c r="AI19" s="1">
        <v>25.6</v>
      </c>
      <c r="AJ19" s="2">
        <v>-3.74</v>
      </c>
      <c r="AK19" s="1">
        <v>134</v>
      </c>
      <c r="AL19" s="1">
        <v>42.3</v>
      </c>
      <c r="AM19" s="1">
        <v>74.400000000000006</v>
      </c>
      <c r="AN19" s="1">
        <v>11.07</v>
      </c>
      <c r="AO19" s="1">
        <v>448</v>
      </c>
      <c r="AP19" s="1">
        <v>134</v>
      </c>
      <c r="AQ19" s="1">
        <v>102</v>
      </c>
      <c r="AR19" s="1">
        <v>142</v>
      </c>
      <c r="AS19" s="1">
        <v>4.8</v>
      </c>
      <c r="AT19" s="1">
        <v>3.1</v>
      </c>
      <c r="AU19" s="2">
        <v>1</v>
      </c>
      <c r="AV19" s="2">
        <v>0.13</v>
      </c>
      <c r="AW19" s="2">
        <v>2.09</v>
      </c>
      <c r="AX19" s="1">
        <v>42</v>
      </c>
      <c r="AY19" s="1">
        <v>42.3</v>
      </c>
      <c r="AZ19" s="1">
        <v>2.2000000000000002</v>
      </c>
      <c r="BA19" s="1">
        <v>6.4</v>
      </c>
      <c r="BB19" s="1">
        <v>2.91</v>
      </c>
      <c r="BC19" s="1">
        <v>1.06</v>
      </c>
      <c r="BD19" s="1">
        <v>1.052</v>
      </c>
      <c r="BE19" s="12">
        <v>9</v>
      </c>
      <c r="BF19" s="1">
        <v>2</v>
      </c>
      <c r="BG19" s="1">
        <v>7</v>
      </c>
      <c r="BH19" s="1">
        <v>1</v>
      </c>
      <c r="BI19" s="1">
        <v>92.21</v>
      </c>
      <c r="BJ19" s="1">
        <v>7.78</v>
      </c>
      <c r="BK19" s="1">
        <v>11.86</v>
      </c>
      <c r="BL19" s="22">
        <v>1</v>
      </c>
    </row>
    <row r="20" spans="1:64" x14ac:dyDescent="0.25">
      <c r="A20" s="20">
        <v>16</v>
      </c>
      <c r="B20" s="22">
        <v>41</v>
      </c>
      <c r="C20" s="1">
        <v>72</v>
      </c>
      <c r="D20" s="2">
        <v>1.55</v>
      </c>
      <c r="E20" s="1">
        <v>29.968782518210194</v>
      </c>
      <c r="F20" s="1">
        <v>39.200000000000003</v>
      </c>
      <c r="G20" s="1">
        <v>22</v>
      </c>
      <c r="H20" s="23">
        <v>0</v>
      </c>
      <c r="I20" s="7">
        <v>87</v>
      </c>
      <c r="J20" s="1">
        <v>87</v>
      </c>
      <c r="K20" s="1">
        <v>93</v>
      </c>
      <c r="L20" s="23">
        <v>0.93548387096774188</v>
      </c>
      <c r="M20" s="20">
        <v>61</v>
      </c>
      <c r="N20" s="20">
        <v>50</v>
      </c>
      <c r="O20" s="22">
        <v>84</v>
      </c>
      <c r="P20" s="20">
        <v>12</v>
      </c>
      <c r="Q20" s="20">
        <v>140</v>
      </c>
      <c r="R20" s="20">
        <v>90</v>
      </c>
      <c r="S20" s="20">
        <v>91</v>
      </c>
      <c r="T20" s="22">
        <v>131</v>
      </c>
      <c r="U20" s="20">
        <v>32</v>
      </c>
      <c r="V20" s="20">
        <v>170</v>
      </c>
      <c r="W20" s="20">
        <v>90</v>
      </c>
      <c r="X20" s="20">
        <v>93</v>
      </c>
      <c r="Y20" s="43">
        <v>2.197802197802198</v>
      </c>
      <c r="Z20" s="20">
        <v>2</v>
      </c>
      <c r="AA20" s="22">
        <v>0</v>
      </c>
      <c r="AB20" s="20">
        <v>0</v>
      </c>
      <c r="AC20" s="20">
        <v>0</v>
      </c>
      <c r="AD20" s="24">
        <v>528</v>
      </c>
      <c r="AE20" s="25">
        <v>551.99652913631644</v>
      </c>
      <c r="AF20" s="26">
        <v>95.65277535823229</v>
      </c>
      <c r="AG20" s="7">
        <v>483</v>
      </c>
      <c r="AH20" s="1">
        <v>6.2</v>
      </c>
      <c r="AI20" s="1">
        <v>33.4</v>
      </c>
      <c r="AJ20" s="2">
        <v>-3.3</v>
      </c>
      <c r="AK20" s="1">
        <v>124</v>
      </c>
      <c r="AL20" s="1">
        <v>35.200000000000003</v>
      </c>
      <c r="AM20" s="1">
        <v>66.599999999999994</v>
      </c>
      <c r="AN20" s="1">
        <v>8.6999999999999993</v>
      </c>
      <c r="AO20" s="1">
        <v>483</v>
      </c>
      <c r="AP20" s="1">
        <v>124</v>
      </c>
      <c r="AQ20" s="1">
        <v>88</v>
      </c>
      <c r="AR20" s="1">
        <v>139</v>
      </c>
      <c r="AS20" s="1">
        <v>6.9</v>
      </c>
      <c r="AT20" s="1">
        <v>6.2</v>
      </c>
      <c r="AU20" s="2">
        <v>1</v>
      </c>
      <c r="AV20" s="2">
        <v>0.13</v>
      </c>
      <c r="AW20" s="2">
        <v>1.79</v>
      </c>
      <c r="AX20" s="1">
        <v>59</v>
      </c>
      <c r="AY20" s="1">
        <v>35.200000000000003</v>
      </c>
      <c r="AZ20" s="1">
        <v>4.4000000000000004</v>
      </c>
      <c r="BA20" s="1">
        <v>8.8000000000000007</v>
      </c>
      <c r="BB20" s="1">
        <v>1.9970000000000001</v>
      </c>
      <c r="BC20" s="1">
        <v>1.415</v>
      </c>
      <c r="BD20" s="1">
        <v>1.7</v>
      </c>
      <c r="BE20" s="12">
        <v>24</v>
      </c>
      <c r="BF20" s="1">
        <v>2</v>
      </c>
      <c r="BG20" s="1">
        <v>20</v>
      </c>
      <c r="BH20" s="1">
        <v>2</v>
      </c>
      <c r="BI20" s="1">
        <v>90.6</v>
      </c>
      <c r="BJ20" s="1">
        <v>9.3800000000000008</v>
      </c>
      <c r="BK20" s="1">
        <v>9.6579999999999995</v>
      </c>
      <c r="BL20" s="22">
        <v>1</v>
      </c>
    </row>
    <row r="21" spans="1:64" x14ac:dyDescent="0.25">
      <c r="A21" s="20">
        <v>17</v>
      </c>
      <c r="B21" s="22">
        <v>67</v>
      </c>
      <c r="C21" s="1">
        <v>44</v>
      </c>
      <c r="D21" s="2">
        <v>1.61</v>
      </c>
      <c r="E21" s="1">
        <v>16.974653755642141</v>
      </c>
      <c r="F21" s="1">
        <v>17.2</v>
      </c>
      <c r="G21" s="1">
        <v>14</v>
      </c>
      <c r="H21" s="23">
        <v>0.75</v>
      </c>
      <c r="I21" s="7">
        <v>63</v>
      </c>
      <c r="J21" s="1">
        <v>66</v>
      </c>
      <c r="K21" s="1">
        <v>62</v>
      </c>
      <c r="L21" s="23">
        <v>1.0161290322580645</v>
      </c>
      <c r="M21" s="20">
        <v>58</v>
      </c>
      <c r="N21" s="20">
        <v>32</v>
      </c>
      <c r="O21" s="22">
        <v>72</v>
      </c>
      <c r="P21" s="20">
        <v>20</v>
      </c>
      <c r="Q21" s="20">
        <v>150</v>
      </c>
      <c r="R21" s="20">
        <v>90</v>
      </c>
      <c r="S21" s="20"/>
      <c r="T21" s="22">
        <v>126</v>
      </c>
      <c r="U21" s="20">
        <v>28</v>
      </c>
      <c r="V21" s="20">
        <v>160</v>
      </c>
      <c r="W21" s="20">
        <v>90</v>
      </c>
      <c r="X21" s="20"/>
      <c r="Y21" s="43"/>
      <c r="Z21" s="20"/>
      <c r="AA21" s="22">
        <v>2</v>
      </c>
      <c r="AB21" s="20">
        <v>3</v>
      </c>
      <c r="AC21" s="20">
        <v>3</v>
      </c>
      <c r="AD21" s="24">
        <v>300</v>
      </c>
      <c r="AE21" s="25">
        <v>553.29393621002282</v>
      </c>
      <c r="AF21" s="26">
        <v>54.220727965130656</v>
      </c>
      <c r="AG21" s="7">
        <v>470</v>
      </c>
      <c r="AH21" s="1">
        <v>64.599999999999994</v>
      </c>
      <c r="AI21" s="1">
        <v>61.4</v>
      </c>
      <c r="AJ21" s="2">
        <v>-1.49</v>
      </c>
      <c r="AK21" s="1">
        <v>128</v>
      </c>
      <c r="AL21" s="1">
        <v>14.3</v>
      </c>
      <c r="AM21" s="1">
        <v>38.4</v>
      </c>
      <c r="AN21" s="1">
        <v>5.22</v>
      </c>
      <c r="AO21" s="1">
        <v>470</v>
      </c>
      <c r="AP21" s="1">
        <v>128</v>
      </c>
      <c r="AQ21" s="1">
        <v>90</v>
      </c>
      <c r="AR21" s="1">
        <v>146</v>
      </c>
      <c r="AS21" s="1">
        <v>38.1</v>
      </c>
      <c r="AT21" s="1">
        <v>64.599999999999994</v>
      </c>
      <c r="AU21" s="2">
        <v>265</v>
      </c>
      <c r="AV21" s="2">
        <v>34.64</v>
      </c>
      <c r="AW21" s="2">
        <v>2.86</v>
      </c>
      <c r="AX21" s="1">
        <v>240</v>
      </c>
      <c r="AY21" s="1">
        <v>14.3</v>
      </c>
      <c r="AZ21" s="1">
        <v>45.7</v>
      </c>
      <c r="BA21" s="1">
        <v>28.5</v>
      </c>
      <c r="BB21" s="1">
        <v>0.623</v>
      </c>
      <c r="BC21" s="1">
        <v>0.72</v>
      </c>
      <c r="BD21" s="1">
        <v>0.37</v>
      </c>
      <c r="BE21" s="12">
        <v>53</v>
      </c>
      <c r="BF21" s="1">
        <v>5</v>
      </c>
      <c r="BG21" s="1">
        <v>7</v>
      </c>
      <c r="BH21" s="1">
        <v>41</v>
      </c>
      <c r="BI21" s="1">
        <v>14.3</v>
      </c>
      <c r="BJ21" s="1">
        <v>85.31</v>
      </c>
      <c r="BK21" s="1">
        <v>0.16800000000000001</v>
      </c>
      <c r="BL21" s="22">
        <v>1</v>
      </c>
    </row>
    <row r="22" spans="1:64" x14ac:dyDescent="0.25">
      <c r="A22" s="20">
        <v>18</v>
      </c>
      <c r="B22" s="22">
        <v>50</v>
      </c>
      <c r="C22" s="1">
        <v>60</v>
      </c>
      <c r="D22" s="2">
        <v>1.58</v>
      </c>
      <c r="E22" s="1">
        <v>24.034609838166958</v>
      </c>
      <c r="F22" s="1">
        <v>18.2</v>
      </c>
      <c r="G22" s="1">
        <v>10</v>
      </c>
      <c r="H22" s="23">
        <v>1.5</v>
      </c>
      <c r="I22" s="7">
        <v>103</v>
      </c>
      <c r="J22" s="1">
        <v>97</v>
      </c>
      <c r="K22" s="1">
        <v>82</v>
      </c>
      <c r="L22" s="23">
        <v>1.2560975609756098</v>
      </c>
      <c r="M22" s="20"/>
      <c r="N22" s="20"/>
      <c r="O22" s="22">
        <v>64</v>
      </c>
      <c r="P22" s="20">
        <v>20</v>
      </c>
      <c r="Q22" s="20">
        <v>130</v>
      </c>
      <c r="R22" s="20">
        <v>80</v>
      </c>
      <c r="S22" s="20"/>
      <c r="T22" s="22">
        <v>102</v>
      </c>
      <c r="U22" s="20">
        <v>26</v>
      </c>
      <c r="V22" s="20">
        <v>130</v>
      </c>
      <c r="W22" s="29">
        <v>80</v>
      </c>
      <c r="X22" s="20"/>
      <c r="Y22" s="43"/>
      <c r="Z22" s="20"/>
      <c r="AA22" s="22">
        <v>2</v>
      </c>
      <c r="AB22" s="20">
        <v>4</v>
      </c>
      <c r="AC22" s="20">
        <v>5</v>
      </c>
      <c r="AD22" s="24">
        <v>482</v>
      </c>
      <c r="AE22" s="25">
        <v>554.16145008812691</v>
      </c>
      <c r="AF22" s="26">
        <v>86.978262368006426</v>
      </c>
      <c r="AG22" s="7">
        <v>578</v>
      </c>
      <c r="AH22" s="1">
        <v>4.9000000000000004</v>
      </c>
      <c r="AI22" s="1">
        <v>28.3</v>
      </c>
      <c r="AJ22" s="2">
        <v>-2.69</v>
      </c>
      <c r="AK22" s="1">
        <v>104</v>
      </c>
      <c r="AL22" s="1">
        <v>30</v>
      </c>
      <c r="AM22" s="1">
        <v>71.7</v>
      </c>
      <c r="AN22" s="1">
        <v>5.88</v>
      </c>
      <c r="AO22" s="1">
        <v>578</v>
      </c>
      <c r="AP22" s="1">
        <v>104</v>
      </c>
      <c r="AQ22" s="1">
        <v>70</v>
      </c>
      <c r="AR22" s="1">
        <v>112</v>
      </c>
      <c r="AS22" s="1">
        <v>6.7</v>
      </c>
      <c r="AT22" s="1">
        <v>4.9000000000000004</v>
      </c>
      <c r="AU22" s="2">
        <v>0</v>
      </c>
      <c r="AV22" s="2">
        <v>0</v>
      </c>
      <c r="AW22" s="2">
        <v>1.64</v>
      </c>
      <c r="AX22" s="1">
        <v>65</v>
      </c>
      <c r="AY22" s="1">
        <v>30</v>
      </c>
      <c r="AZ22" s="1">
        <v>3.5</v>
      </c>
      <c r="BA22" s="1">
        <v>8.8000000000000007</v>
      </c>
      <c r="BB22" s="1">
        <v>2.5339999999999998</v>
      </c>
      <c r="BC22" s="1">
        <v>1.246</v>
      </c>
      <c r="BD22" s="1">
        <v>1.3380000000000001</v>
      </c>
      <c r="BE22" s="12">
        <v>15</v>
      </c>
      <c r="BF22" s="1">
        <v>4</v>
      </c>
      <c r="BG22" s="1">
        <v>9</v>
      </c>
      <c r="BH22" s="1">
        <v>2</v>
      </c>
      <c r="BI22" s="1">
        <v>84.51</v>
      </c>
      <c r="BJ22" s="1">
        <v>15.24</v>
      </c>
      <c r="BK22" s="1">
        <v>5.5460000000000003</v>
      </c>
      <c r="BL22" s="22">
        <v>1</v>
      </c>
    </row>
    <row r="23" spans="1:64" x14ac:dyDescent="0.25">
      <c r="A23" s="20">
        <v>19</v>
      </c>
      <c r="B23" s="22">
        <v>66</v>
      </c>
      <c r="C23" s="1">
        <v>76</v>
      </c>
      <c r="D23" s="2">
        <v>1.66</v>
      </c>
      <c r="E23" s="1">
        <v>27.580200319349689</v>
      </c>
      <c r="F23" s="1">
        <v>13.2</v>
      </c>
      <c r="G23" s="1">
        <v>14</v>
      </c>
      <c r="H23" s="23">
        <v>2.25</v>
      </c>
      <c r="I23" s="7">
        <v>85</v>
      </c>
      <c r="J23" s="1">
        <v>79</v>
      </c>
      <c r="K23" s="1">
        <v>129</v>
      </c>
      <c r="L23" s="23">
        <v>0.65891472868217049</v>
      </c>
      <c r="M23" s="20">
        <v>49</v>
      </c>
      <c r="N23" s="20">
        <v>59</v>
      </c>
      <c r="O23" s="22">
        <v>70</v>
      </c>
      <c r="P23" s="20">
        <v>16</v>
      </c>
      <c r="Q23" s="20">
        <v>130</v>
      </c>
      <c r="R23" s="20">
        <v>70</v>
      </c>
      <c r="S23" s="20">
        <v>97</v>
      </c>
      <c r="T23" s="22">
        <v>100</v>
      </c>
      <c r="U23" s="20">
        <v>24</v>
      </c>
      <c r="V23" s="20">
        <v>140</v>
      </c>
      <c r="W23" s="20">
        <v>80</v>
      </c>
      <c r="X23" s="20">
        <v>98</v>
      </c>
      <c r="Y23" s="43">
        <v>1.0309278350515463</v>
      </c>
      <c r="Z23" s="20">
        <v>2</v>
      </c>
      <c r="AA23" s="22">
        <v>5</v>
      </c>
      <c r="AB23" s="20">
        <v>5</v>
      </c>
      <c r="AC23" s="20">
        <v>6</v>
      </c>
      <c r="AD23" s="24">
        <v>447</v>
      </c>
      <c r="AE23" s="25">
        <v>503.16642444476702</v>
      </c>
      <c r="AF23" s="26">
        <v>88.83740613123274</v>
      </c>
      <c r="AG23" s="7">
        <v>605</v>
      </c>
      <c r="AH23" s="1">
        <v>8</v>
      </c>
      <c r="AI23" s="1">
        <v>27</v>
      </c>
      <c r="AJ23" s="2">
        <v>-2.46</v>
      </c>
      <c r="AK23" s="1">
        <v>99</v>
      </c>
      <c r="AL23" s="1">
        <v>30.3</v>
      </c>
      <c r="AM23" s="1">
        <v>73</v>
      </c>
      <c r="AN23" s="1">
        <v>5.58</v>
      </c>
      <c r="AO23" s="1">
        <v>605</v>
      </c>
      <c r="AP23" s="1">
        <v>99</v>
      </c>
      <c r="AQ23" s="1">
        <v>76</v>
      </c>
      <c r="AR23" s="1">
        <v>108</v>
      </c>
      <c r="AS23" s="1">
        <v>11.6</v>
      </c>
      <c r="AT23" s="1">
        <v>8</v>
      </c>
      <c r="AU23" s="2">
        <v>0</v>
      </c>
      <c r="AV23" s="2">
        <v>0</v>
      </c>
      <c r="AW23" s="2">
        <v>2.96</v>
      </c>
      <c r="AX23" s="1">
        <v>62</v>
      </c>
      <c r="AY23" s="1">
        <v>30.3</v>
      </c>
      <c r="AZ23" s="1">
        <v>5.7</v>
      </c>
      <c r="BA23" s="1">
        <v>15.3</v>
      </c>
      <c r="BB23" s="1">
        <v>2.7090000000000001</v>
      </c>
      <c r="BC23" s="1">
        <v>1.2669999999999999</v>
      </c>
      <c r="BD23" s="1">
        <v>1.6020000000000001</v>
      </c>
      <c r="BE23" s="12">
        <v>86</v>
      </c>
      <c r="BF23" s="1">
        <v>14</v>
      </c>
      <c r="BG23" s="1">
        <v>62</v>
      </c>
      <c r="BH23" s="1">
        <v>11</v>
      </c>
      <c r="BI23" s="1">
        <v>85.21</v>
      </c>
      <c r="BJ23" s="1">
        <v>14.5</v>
      </c>
      <c r="BK23" s="1">
        <v>5.8369999999999997</v>
      </c>
      <c r="BL23" s="22">
        <v>1</v>
      </c>
    </row>
    <row r="24" spans="1:64" x14ac:dyDescent="0.25">
      <c r="A24" s="20">
        <v>20</v>
      </c>
      <c r="B24" s="22">
        <v>53</v>
      </c>
      <c r="C24" s="1">
        <v>54</v>
      </c>
      <c r="D24" s="2">
        <v>1.45</v>
      </c>
      <c r="E24" s="1">
        <v>25.68370986920333</v>
      </c>
      <c r="F24" s="1">
        <v>22.6</v>
      </c>
      <c r="G24" s="1">
        <v>20</v>
      </c>
      <c r="H24" s="23">
        <v>0.125</v>
      </c>
      <c r="I24" s="7">
        <v>81</v>
      </c>
      <c r="J24" s="1">
        <v>108</v>
      </c>
      <c r="K24" s="1">
        <v>53</v>
      </c>
      <c r="L24" s="23">
        <v>1.5283018867924529</v>
      </c>
      <c r="M24" s="20">
        <v>36</v>
      </c>
      <c r="N24" s="20">
        <v>29</v>
      </c>
      <c r="O24" s="22">
        <v>88</v>
      </c>
      <c r="P24" s="20">
        <v>20</v>
      </c>
      <c r="Q24" s="20">
        <v>130</v>
      </c>
      <c r="R24" s="20">
        <v>80</v>
      </c>
      <c r="S24" s="20">
        <v>94</v>
      </c>
      <c r="T24" s="22">
        <v>133</v>
      </c>
      <c r="U24" s="20">
        <v>28</v>
      </c>
      <c r="V24" s="20">
        <v>140</v>
      </c>
      <c r="W24" s="20">
        <v>90</v>
      </c>
      <c r="X24" s="20">
        <v>87</v>
      </c>
      <c r="Y24" s="43">
        <v>-7.4468085106382977</v>
      </c>
      <c r="Z24" s="20">
        <v>1</v>
      </c>
      <c r="AA24" s="22">
        <v>0</v>
      </c>
      <c r="AB24" s="20">
        <v>0</v>
      </c>
      <c r="AC24" s="20">
        <v>0</v>
      </c>
      <c r="AD24" s="24">
        <v>426</v>
      </c>
      <c r="AE24" s="25">
        <v>538.46083293697984</v>
      </c>
      <c r="AF24" s="26">
        <v>79.114389374697197</v>
      </c>
      <c r="AG24" s="7">
        <v>471</v>
      </c>
      <c r="AH24" s="1">
        <v>3.8</v>
      </c>
      <c r="AI24" s="1">
        <v>28.6</v>
      </c>
      <c r="AJ24" s="2">
        <v>-3.51</v>
      </c>
      <c r="AK24" s="1">
        <v>127</v>
      </c>
      <c r="AL24" s="1">
        <v>33.1</v>
      </c>
      <c r="AM24" s="1">
        <v>71.400000000000006</v>
      </c>
      <c r="AN24" s="1">
        <v>8.7100000000000009</v>
      </c>
      <c r="AO24" s="1">
        <v>471</v>
      </c>
      <c r="AP24" s="1">
        <v>127</v>
      </c>
      <c r="AQ24" s="1">
        <v>90</v>
      </c>
      <c r="AR24" s="1">
        <v>137</v>
      </c>
      <c r="AS24" s="1">
        <v>5.0999999999999996</v>
      </c>
      <c r="AT24" s="1">
        <v>3.8</v>
      </c>
      <c r="AU24" s="2">
        <v>1</v>
      </c>
      <c r="AV24" s="2">
        <v>0.13</v>
      </c>
      <c r="AW24" s="2">
        <v>2.02</v>
      </c>
      <c r="AX24" s="1">
        <v>51</v>
      </c>
      <c r="AY24" s="1">
        <v>33.1</v>
      </c>
      <c r="AZ24" s="1">
        <v>2.7</v>
      </c>
      <c r="BA24" s="1">
        <v>6.7</v>
      </c>
      <c r="BB24" s="1">
        <v>2.496</v>
      </c>
      <c r="BC24" s="1">
        <v>1.083</v>
      </c>
      <c r="BD24" s="1">
        <v>1.075</v>
      </c>
      <c r="BE24" s="12">
        <v>8</v>
      </c>
      <c r="BF24" s="1">
        <v>4</v>
      </c>
      <c r="BG24" s="1">
        <v>4</v>
      </c>
      <c r="BH24" s="1">
        <v>1</v>
      </c>
      <c r="BI24" s="1">
        <v>85.19</v>
      </c>
      <c r="BJ24" s="1">
        <v>14.77</v>
      </c>
      <c r="BK24" s="1">
        <v>5.77</v>
      </c>
      <c r="BL24" s="22">
        <v>1</v>
      </c>
    </row>
    <row r="25" spans="1:64" x14ac:dyDescent="0.25">
      <c r="A25" s="20">
        <v>21</v>
      </c>
      <c r="B25" s="22">
        <v>63</v>
      </c>
      <c r="C25" s="1">
        <v>72</v>
      </c>
      <c r="D25" s="2">
        <v>1.69</v>
      </c>
      <c r="E25" s="1">
        <v>25.209201358495854</v>
      </c>
      <c r="F25" s="1">
        <v>27.8</v>
      </c>
      <c r="G25" s="1">
        <v>10</v>
      </c>
      <c r="H25" s="23">
        <v>1.125</v>
      </c>
      <c r="I25" s="7">
        <v>66</v>
      </c>
      <c r="J25" s="1">
        <v>69</v>
      </c>
      <c r="K25" s="1">
        <v>71</v>
      </c>
      <c r="L25" s="23">
        <v>0.92957746478873238</v>
      </c>
      <c r="M25" s="20">
        <v>50</v>
      </c>
      <c r="N25" s="20">
        <v>50</v>
      </c>
      <c r="O25" s="22">
        <v>67</v>
      </c>
      <c r="P25" s="20">
        <v>24</v>
      </c>
      <c r="Q25" s="20">
        <v>120</v>
      </c>
      <c r="R25" s="20">
        <v>80</v>
      </c>
      <c r="S25" s="20"/>
      <c r="T25" s="22">
        <v>105</v>
      </c>
      <c r="U25" s="20">
        <v>28</v>
      </c>
      <c r="V25" s="20">
        <v>130</v>
      </c>
      <c r="W25" s="20">
        <v>70</v>
      </c>
      <c r="X25" s="20"/>
      <c r="Y25" s="43"/>
      <c r="Z25" s="20"/>
      <c r="AA25" s="22">
        <v>0</v>
      </c>
      <c r="AB25" s="20">
        <v>1</v>
      </c>
      <c r="AC25" s="20">
        <v>2</v>
      </c>
      <c r="AD25" s="24">
        <v>392</v>
      </c>
      <c r="AE25" s="25">
        <v>519.6916893841252</v>
      </c>
      <c r="AF25" s="26">
        <v>75.42933781845737</v>
      </c>
      <c r="AG25" s="7">
        <v>555</v>
      </c>
      <c r="AH25" s="1">
        <v>15.9</v>
      </c>
      <c r="AI25" s="1">
        <v>44.1</v>
      </c>
      <c r="AJ25" s="2">
        <v>-2.36</v>
      </c>
      <c r="AK25" s="1">
        <v>108</v>
      </c>
      <c r="AL25" s="1">
        <v>20.2</v>
      </c>
      <c r="AM25" s="1">
        <v>55.9</v>
      </c>
      <c r="AN25" s="1">
        <v>4.49</v>
      </c>
      <c r="AO25" s="1">
        <v>555</v>
      </c>
      <c r="AP25" s="1">
        <v>108</v>
      </c>
      <c r="AQ25" s="1">
        <v>72</v>
      </c>
      <c r="AR25" s="1">
        <v>120</v>
      </c>
      <c r="AS25" s="1">
        <v>12.9</v>
      </c>
      <c r="AT25" s="1">
        <v>15.9</v>
      </c>
      <c r="AU25" s="2">
        <v>12</v>
      </c>
      <c r="AV25" s="2">
        <v>2.23</v>
      </c>
      <c r="AW25" s="2">
        <v>1.88</v>
      </c>
      <c r="AX25" s="1">
        <v>146</v>
      </c>
      <c r="AY25" s="1">
        <v>20.2</v>
      </c>
      <c r="AZ25" s="1">
        <v>11.3</v>
      </c>
      <c r="BA25" s="1">
        <v>14.3</v>
      </c>
      <c r="BB25" s="1">
        <v>1.268</v>
      </c>
      <c r="BC25" s="1">
        <v>0.80200000000000005</v>
      </c>
      <c r="BD25" s="1">
        <v>0.73</v>
      </c>
      <c r="BE25" s="12">
        <v>11</v>
      </c>
      <c r="BF25" s="1">
        <v>1</v>
      </c>
      <c r="BG25" s="1">
        <v>6</v>
      </c>
      <c r="BH25" s="1">
        <v>4</v>
      </c>
      <c r="BI25" s="1">
        <v>61.9</v>
      </c>
      <c r="BJ25" s="1">
        <v>37.25</v>
      </c>
      <c r="BK25" s="1">
        <v>11</v>
      </c>
      <c r="BL25" s="22">
        <v>1</v>
      </c>
    </row>
    <row r="26" spans="1:64" x14ac:dyDescent="0.25">
      <c r="A26" s="20">
        <v>22</v>
      </c>
      <c r="B26" s="22">
        <v>41</v>
      </c>
      <c r="C26" s="1">
        <v>48</v>
      </c>
      <c r="D26" s="2">
        <v>1.52</v>
      </c>
      <c r="E26" s="1">
        <v>20.775623268698062</v>
      </c>
      <c r="F26" s="1">
        <v>23.2</v>
      </c>
      <c r="G26" s="1">
        <v>28</v>
      </c>
      <c r="H26" s="23">
        <v>0.25</v>
      </c>
      <c r="I26" s="7">
        <v>50</v>
      </c>
      <c r="J26" s="1">
        <v>57</v>
      </c>
      <c r="K26" s="1">
        <v>74</v>
      </c>
      <c r="L26" s="23">
        <v>0.67567567567567566</v>
      </c>
      <c r="M26" s="20">
        <v>66</v>
      </c>
      <c r="N26" s="20">
        <v>70</v>
      </c>
      <c r="O26" s="22">
        <v>99</v>
      </c>
      <c r="P26" s="20">
        <v>24</v>
      </c>
      <c r="Q26" s="20">
        <v>120</v>
      </c>
      <c r="R26" s="20">
        <v>80</v>
      </c>
      <c r="S26" s="20">
        <v>98</v>
      </c>
      <c r="T26" s="22">
        <v>146</v>
      </c>
      <c r="U26" s="20">
        <v>36</v>
      </c>
      <c r="V26" s="20">
        <v>140</v>
      </c>
      <c r="W26" s="20">
        <v>80</v>
      </c>
      <c r="X26" s="20">
        <v>97</v>
      </c>
      <c r="Y26" s="43">
        <v>-1.0204081632653061</v>
      </c>
      <c r="Z26" s="20">
        <v>2</v>
      </c>
      <c r="AA26" s="22">
        <v>0</v>
      </c>
      <c r="AB26" s="20">
        <v>2</v>
      </c>
      <c r="AC26" s="20">
        <v>2</v>
      </c>
      <c r="AD26" s="24">
        <v>535</v>
      </c>
      <c r="AE26" s="25">
        <v>596.76721468144046</v>
      </c>
      <c r="AF26" s="26">
        <v>89.649697040677353</v>
      </c>
      <c r="AG26" s="7">
        <v>403</v>
      </c>
      <c r="AH26" s="1">
        <v>3.7</v>
      </c>
      <c r="AI26" s="1">
        <v>28</v>
      </c>
      <c r="AJ26" s="2">
        <v>-4.0999999999999996</v>
      </c>
      <c r="AK26" s="1">
        <v>149</v>
      </c>
      <c r="AL26" s="1">
        <v>39.6</v>
      </c>
      <c r="AM26" s="1">
        <v>72</v>
      </c>
      <c r="AN26" s="1">
        <v>12.12</v>
      </c>
      <c r="AO26" s="1">
        <v>403</v>
      </c>
      <c r="AP26" s="1">
        <v>149</v>
      </c>
      <c r="AQ26" s="1">
        <v>101</v>
      </c>
      <c r="AR26" s="1">
        <v>160</v>
      </c>
      <c r="AS26" s="1">
        <v>5.0999999999999996</v>
      </c>
      <c r="AT26" s="1">
        <v>3.7</v>
      </c>
      <c r="AU26" s="2">
        <v>1</v>
      </c>
      <c r="AV26" s="2">
        <v>0.11</v>
      </c>
      <c r="AW26" s="2">
        <v>1.74</v>
      </c>
      <c r="AX26" s="1">
        <v>53</v>
      </c>
      <c r="AY26" s="1">
        <v>39.6</v>
      </c>
      <c r="AZ26" s="1">
        <v>2.6</v>
      </c>
      <c r="BA26" s="1">
        <v>6.7</v>
      </c>
      <c r="BB26" s="1">
        <v>2.5710000000000002</v>
      </c>
      <c r="BC26" s="1">
        <v>1.196</v>
      </c>
      <c r="BD26" s="1">
        <v>1.236</v>
      </c>
      <c r="BE26" s="12">
        <v>5</v>
      </c>
      <c r="BF26" s="1">
        <v>1</v>
      </c>
      <c r="BG26" s="1">
        <v>3</v>
      </c>
      <c r="BH26" s="1">
        <v>1</v>
      </c>
      <c r="BI26" s="1">
        <v>70.069999999999993</v>
      </c>
      <c r="BJ26" s="1">
        <v>29.92</v>
      </c>
      <c r="BK26" s="1">
        <v>2.3420000000000001</v>
      </c>
      <c r="BL26" s="22">
        <v>1</v>
      </c>
    </row>
    <row r="27" spans="1:64" x14ac:dyDescent="0.25">
      <c r="A27" s="20">
        <v>23</v>
      </c>
      <c r="B27" s="22">
        <v>69</v>
      </c>
      <c r="C27" s="1">
        <v>53</v>
      </c>
      <c r="D27" s="2">
        <v>1.62</v>
      </c>
      <c r="E27" s="1">
        <v>20.195092211553114</v>
      </c>
      <c r="F27" s="1">
        <v>33.4</v>
      </c>
      <c r="G27" s="1">
        <v>22</v>
      </c>
      <c r="H27" s="23">
        <v>0</v>
      </c>
      <c r="I27" s="7">
        <v>93</v>
      </c>
      <c r="J27" s="1">
        <v>76</v>
      </c>
      <c r="K27" s="1">
        <v>96</v>
      </c>
      <c r="L27" s="23">
        <v>0.96875</v>
      </c>
      <c r="M27" s="20">
        <v>51</v>
      </c>
      <c r="N27" s="20">
        <v>27</v>
      </c>
      <c r="O27" s="22">
        <v>71</v>
      </c>
      <c r="P27" s="20">
        <v>16</v>
      </c>
      <c r="Q27" s="20">
        <v>130</v>
      </c>
      <c r="R27" s="20">
        <v>80</v>
      </c>
      <c r="S27" s="20">
        <v>98</v>
      </c>
      <c r="T27" s="22">
        <v>109</v>
      </c>
      <c r="U27" s="20">
        <v>24</v>
      </c>
      <c r="V27" s="20">
        <v>130</v>
      </c>
      <c r="W27" s="20">
        <v>80</v>
      </c>
      <c r="X27" s="20">
        <v>97</v>
      </c>
      <c r="Y27" s="43">
        <v>-1.0204081632653061</v>
      </c>
      <c r="Z27" s="20">
        <v>2</v>
      </c>
      <c r="AA27" s="22">
        <v>1</v>
      </c>
      <c r="AB27" s="20">
        <v>2</v>
      </c>
      <c r="AC27" s="20">
        <v>3</v>
      </c>
      <c r="AD27" s="24">
        <v>549</v>
      </c>
      <c r="AE27" s="25">
        <v>534.77440092973632</v>
      </c>
      <c r="AF27" s="26">
        <v>102.66011219787852</v>
      </c>
      <c r="AG27" s="7">
        <v>564</v>
      </c>
      <c r="AH27" s="1">
        <v>22.1</v>
      </c>
      <c r="AI27" s="1">
        <v>54.1</v>
      </c>
      <c r="AJ27" s="2">
        <v>-2.0299999999999998</v>
      </c>
      <c r="AK27" s="1">
        <v>106</v>
      </c>
      <c r="AL27" s="1">
        <v>16.2</v>
      </c>
      <c r="AM27" s="1">
        <v>45.9</v>
      </c>
      <c r="AN27" s="1">
        <v>3.59</v>
      </c>
      <c r="AO27" s="1">
        <v>564</v>
      </c>
      <c r="AP27" s="1">
        <v>106</v>
      </c>
      <c r="AQ27" s="1">
        <v>80</v>
      </c>
      <c r="AR27" s="1">
        <v>122</v>
      </c>
      <c r="AS27" s="1">
        <v>14.5</v>
      </c>
      <c r="AT27" s="1">
        <v>22.1</v>
      </c>
      <c r="AU27" s="2">
        <v>15</v>
      </c>
      <c r="AV27" s="2">
        <v>2.38</v>
      </c>
      <c r="AW27" s="2">
        <v>1.76</v>
      </c>
      <c r="AX27" s="1">
        <v>179</v>
      </c>
      <c r="AY27" s="1">
        <v>16.2</v>
      </c>
      <c r="AZ27" s="1">
        <v>15.7</v>
      </c>
      <c r="BA27" s="1">
        <v>13.3</v>
      </c>
      <c r="BB27" s="1">
        <v>0.85</v>
      </c>
      <c r="BC27" s="1">
        <v>0.41399999999999998</v>
      </c>
      <c r="BD27" s="1">
        <v>0.314</v>
      </c>
      <c r="BE27" s="12">
        <v>65</v>
      </c>
      <c r="BF27" s="1">
        <v>0</v>
      </c>
      <c r="BG27" s="1">
        <v>15</v>
      </c>
      <c r="BH27" s="1">
        <v>50</v>
      </c>
      <c r="BI27" s="1">
        <v>22.64</v>
      </c>
      <c r="BJ27" s="1">
        <v>77.11</v>
      </c>
      <c r="BK27" s="1">
        <v>0.29399999999999998</v>
      </c>
      <c r="BL27" s="22">
        <v>1</v>
      </c>
    </row>
    <row r="28" spans="1:64" x14ac:dyDescent="0.25">
      <c r="A28" s="20">
        <v>24</v>
      </c>
      <c r="B28" s="22">
        <v>61</v>
      </c>
      <c r="C28" s="1">
        <v>57</v>
      </c>
      <c r="D28" s="2">
        <v>1.68</v>
      </c>
      <c r="E28" s="1">
        <v>20.195578231292519</v>
      </c>
      <c r="F28" s="1">
        <v>16.8</v>
      </c>
      <c r="G28" s="1">
        <v>26</v>
      </c>
      <c r="H28" s="23">
        <v>0.125</v>
      </c>
      <c r="I28" s="7">
        <v>83</v>
      </c>
      <c r="J28" s="1">
        <v>83</v>
      </c>
      <c r="K28" s="1">
        <v>86</v>
      </c>
      <c r="L28" s="23">
        <v>0.96511627906976749</v>
      </c>
      <c r="M28" s="20">
        <v>46</v>
      </c>
      <c r="N28" s="20">
        <v>40</v>
      </c>
      <c r="O28" s="22">
        <v>67</v>
      </c>
      <c r="P28" s="20">
        <v>20</v>
      </c>
      <c r="Q28" s="20">
        <v>120</v>
      </c>
      <c r="R28" s="20">
        <v>80</v>
      </c>
      <c r="S28" s="20">
        <v>98</v>
      </c>
      <c r="T28" s="22">
        <v>106</v>
      </c>
      <c r="U28" s="20">
        <v>24</v>
      </c>
      <c r="V28" s="20">
        <v>110</v>
      </c>
      <c r="W28" s="20">
        <v>60</v>
      </c>
      <c r="X28" s="20">
        <v>98</v>
      </c>
      <c r="Y28" s="43">
        <v>0</v>
      </c>
      <c r="Z28" s="20">
        <v>2</v>
      </c>
      <c r="AA28" s="22">
        <v>0</v>
      </c>
      <c r="AB28" s="20">
        <v>0</v>
      </c>
      <c r="AC28" s="20">
        <v>1</v>
      </c>
      <c r="AD28" s="24">
        <v>452</v>
      </c>
      <c r="AE28" s="25">
        <v>547.77203401360543</v>
      </c>
      <c r="AF28" s="26">
        <v>82.51607821015071</v>
      </c>
      <c r="AG28" s="7">
        <v>574</v>
      </c>
      <c r="AH28" s="1">
        <v>4.7</v>
      </c>
      <c r="AI28" s="1">
        <v>25.5</v>
      </c>
      <c r="AJ28" s="2">
        <v>-2.74</v>
      </c>
      <c r="AK28" s="1">
        <v>105</v>
      </c>
      <c r="AL28" s="1">
        <v>31</v>
      </c>
      <c r="AM28" s="1">
        <v>74.5</v>
      </c>
      <c r="AN28" s="1">
        <v>6.14</v>
      </c>
      <c r="AO28" s="1">
        <v>574</v>
      </c>
      <c r="AP28" s="1">
        <v>105</v>
      </c>
      <c r="AQ28" s="1">
        <v>80</v>
      </c>
      <c r="AR28" s="1">
        <v>112</v>
      </c>
      <c r="AS28" s="1">
        <v>7.3</v>
      </c>
      <c r="AT28" s="1">
        <v>4.7</v>
      </c>
      <c r="AU28" s="2">
        <v>0</v>
      </c>
      <c r="AV28" s="2">
        <v>0</v>
      </c>
      <c r="AW28" s="2">
        <v>1.52</v>
      </c>
      <c r="AX28" s="1">
        <v>59</v>
      </c>
      <c r="AY28" s="1">
        <v>31</v>
      </c>
      <c r="AZ28" s="1">
        <v>3.3</v>
      </c>
      <c r="BA28" s="1">
        <v>9.6999999999999993</v>
      </c>
      <c r="BB28" s="1">
        <v>2.9180000000000001</v>
      </c>
      <c r="BC28" s="1">
        <v>1.1759999999999999</v>
      </c>
      <c r="BD28" s="1">
        <v>1.2509999999999999</v>
      </c>
      <c r="BE28" s="12">
        <v>15</v>
      </c>
      <c r="BF28" s="1">
        <v>1</v>
      </c>
      <c r="BG28" s="1">
        <v>10</v>
      </c>
      <c r="BH28" s="1">
        <v>3</v>
      </c>
      <c r="BI28" s="1">
        <v>75.040000000000006</v>
      </c>
      <c r="BJ28" s="1">
        <v>24.88</v>
      </c>
      <c r="BK28" s="1">
        <v>3.016</v>
      </c>
      <c r="BL28" s="22">
        <v>1</v>
      </c>
    </row>
    <row r="29" spans="1:64" x14ac:dyDescent="0.25">
      <c r="A29" s="20">
        <v>25</v>
      </c>
      <c r="B29" s="22">
        <v>49</v>
      </c>
      <c r="C29" s="1">
        <v>77</v>
      </c>
      <c r="D29" s="2">
        <v>1.62</v>
      </c>
      <c r="E29" s="1">
        <v>29.340039628105465</v>
      </c>
      <c r="F29" s="1">
        <v>26.2</v>
      </c>
      <c r="G29" s="1">
        <v>19</v>
      </c>
      <c r="H29" s="23">
        <v>1.5</v>
      </c>
      <c r="I29" s="7">
        <v>39</v>
      </c>
      <c r="J29" s="1">
        <v>35</v>
      </c>
      <c r="K29" s="1">
        <v>60</v>
      </c>
      <c r="L29" s="23">
        <v>0.65</v>
      </c>
      <c r="M29" s="20"/>
      <c r="N29" s="20"/>
      <c r="O29" s="30">
        <v>78</v>
      </c>
      <c r="P29" s="20">
        <v>27</v>
      </c>
      <c r="Q29" s="20">
        <v>120</v>
      </c>
      <c r="R29" s="20">
        <v>60</v>
      </c>
      <c r="S29" s="20"/>
      <c r="T29" s="22">
        <v>123</v>
      </c>
      <c r="U29" s="20">
        <v>35</v>
      </c>
      <c r="V29" s="20">
        <v>130</v>
      </c>
      <c r="W29" s="20">
        <v>70</v>
      </c>
      <c r="X29" s="20"/>
      <c r="Y29" s="43"/>
      <c r="Z29" s="20"/>
      <c r="AA29" s="22">
        <v>2</v>
      </c>
      <c r="AB29" s="20">
        <v>2</v>
      </c>
      <c r="AC29" s="20">
        <v>2</v>
      </c>
      <c r="AD29" s="24">
        <v>451</v>
      </c>
      <c r="AE29" s="25">
        <v>531.0185070111263</v>
      </c>
      <c r="AF29" s="26">
        <v>84.931126513552996</v>
      </c>
      <c r="AG29" s="7">
        <v>519</v>
      </c>
      <c r="AH29" s="1">
        <v>3.5</v>
      </c>
      <c r="AI29" s="1">
        <v>29.8</v>
      </c>
      <c r="AJ29" s="2">
        <v>-3.11</v>
      </c>
      <c r="AK29" s="1">
        <v>116</v>
      </c>
      <c r="AL29" s="1">
        <v>36.799999999999997</v>
      </c>
      <c r="AM29" s="1">
        <v>70.2</v>
      </c>
      <c r="AN29" s="1">
        <v>8.08</v>
      </c>
      <c r="AO29" s="1">
        <v>519</v>
      </c>
      <c r="AP29" s="1">
        <v>116</v>
      </c>
      <c r="AQ29" s="1">
        <v>90</v>
      </c>
      <c r="AR29" s="1">
        <v>125</v>
      </c>
      <c r="AS29" s="1">
        <v>4.5</v>
      </c>
      <c r="AT29" s="1">
        <v>3.5</v>
      </c>
      <c r="AU29" s="2">
        <v>0</v>
      </c>
      <c r="AV29" s="2">
        <v>0</v>
      </c>
      <c r="AW29" s="2">
        <v>1.63</v>
      </c>
      <c r="AX29" s="1">
        <v>33</v>
      </c>
      <c r="AY29" s="1">
        <v>36.799999999999997</v>
      </c>
      <c r="AZ29" s="1">
        <v>2.5</v>
      </c>
      <c r="BA29" s="1">
        <v>5.8</v>
      </c>
      <c r="BB29" s="1">
        <v>2.3199999999999998</v>
      </c>
      <c r="BC29" s="1">
        <v>1.325</v>
      </c>
      <c r="BD29" s="1">
        <v>1.581</v>
      </c>
      <c r="BE29" s="12">
        <v>9</v>
      </c>
      <c r="BF29" s="1">
        <v>2</v>
      </c>
      <c r="BG29" s="1">
        <v>5</v>
      </c>
      <c r="BH29" s="1">
        <v>2</v>
      </c>
      <c r="BI29" s="1">
        <v>73.489999999999995</v>
      </c>
      <c r="BJ29" s="1">
        <v>26.27</v>
      </c>
      <c r="BK29" s="1">
        <v>2.7970000000000002</v>
      </c>
      <c r="BL29" s="22">
        <v>1</v>
      </c>
    </row>
    <row r="30" spans="1:64" x14ac:dyDescent="0.25">
      <c r="A30" s="20">
        <v>26</v>
      </c>
      <c r="B30" s="22">
        <v>36</v>
      </c>
      <c r="C30" s="1">
        <v>62</v>
      </c>
      <c r="D30" s="2">
        <v>1.57</v>
      </c>
      <c r="E30" s="1">
        <v>25.153150229218223</v>
      </c>
      <c r="F30" s="1">
        <v>26</v>
      </c>
      <c r="G30" s="1">
        <v>52</v>
      </c>
      <c r="H30" s="23">
        <v>0.625</v>
      </c>
      <c r="I30" s="7">
        <v>47</v>
      </c>
      <c r="J30" s="1">
        <v>49</v>
      </c>
      <c r="K30" s="1">
        <v>40</v>
      </c>
      <c r="L30" s="23">
        <v>1.175</v>
      </c>
      <c r="M30" s="20">
        <v>86</v>
      </c>
      <c r="N30" s="20">
        <v>67</v>
      </c>
      <c r="O30" s="22">
        <v>70</v>
      </c>
      <c r="P30" s="20">
        <v>20</v>
      </c>
      <c r="Q30" s="20">
        <v>120</v>
      </c>
      <c r="R30" s="20">
        <v>70</v>
      </c>
      <c r="S30" s="20"/>
      <c r="T30" s="22">
        <v>155</v>
      </c>
      <c r="U30" s="20">
        <v>36</v>
      </c>
      <c r="V30" s="20">
        <v>140</v>
      </c>
      <c r="W30" s="20">
        <v>60</v>
      </c>
      <c r="X30" s="20"/>
      <c r="Y30" s="43"/>
      <c r="Z30" s="20"/>
      <c r="AA30" s="22">
        <v>4</v>
      </c>
      <c r="AB30" s="20">
        <v>8</v>
      </c>
      <c r="AC30" s="20">
        <v>10</v>
      </c>
      <c r="AD30" s="24">
        <v>375</v>
      </c>
      <c r="AE30" s="25">
        <v>592.71615838370724</v>
      </c>
      <c r="AF30" s="26">
        <v>63.268057517209762</v>
      </c>
      <c r="AG30" s="7">
        <v>399</v>
      </c>
      <c r="AH30" s="1">
        <v>64.400000000000006</v>
      </c>
      <c r="AI30" s="1">
        <v>48.8</v>
      </c>
      <c r="AJ30" s="2">
        <v>-2.12</v>
      </c>
      <c r="AK30" s="1">
        <v>150</v>
      </c>
      <c r="AL30" s="1">
        <v>15.4</v>
      </c>
      <c r="AM30" s="1">
        <v>51.2</v>
      </c>
      <c r="AN30" s="1">
        <v>7.65</v>
      </c>
      <c r="AO30" s="1">
        <v>399</v>
      </c>
      <c r="AP30" s="1">
        <v>150</v>
      </c>
      <c r="AQ30" s="1">
        <v>116</v>
      </c>
      <c r="AR30" s="1">
        <v>215</v>
      </c>
      <c r="AS30" s="1">
        <v>46.8</v>
      </c>
      <c r="AT30" s="1">
        <v>64.400000000000006</v>
      </c>
      <c r="AU30" s="2">
        <v>174</v>
      </c>
      <c r="AV30" s="2">
        <v>20.51</v>
      </c>
      <c r="AW30" s="2">
        <v>2.2999999999999998</v>
      </c>
      <c r="AX30" s="1">
        <v>232</v>
      </c>
      <c r="AY30" s="1">
        <v>15.4</v>
      </c>
      <c r="AZ30" s="1">
        <v>45.5</v>
      </c>
      <c r="BA30" s="1">
        <v>47.8</v>
      </c>
      <c r="BB30" s="1">
        <v>1.0505494505494506</v>
      </c>
      <c r="BC30" s="1">
        <v>0.42</v>
      </c>
      <c r="BD30" s="1">
        <v>0.127</v>
      </c>
      <c r="BE30" s="12">
        <v>491</v>
      </c>
      <c r="BF30" s="1">
        <v>15</v>
      </c>
      <c r="BG30" s="1">
        <v>141</v>
      </c>
      <c r="BH30" s="1">
        <v>334</v>
      </c>
      <c r="BI30" s="1">
        <v>29.64</v>
      </c>
      <c r="BJ30" s="1">
        <v>70.16</v>
      </c>
      <c r="BK30" s="1">
        <v>0.42199999999999999</v>
      </c>
      <c r="BL30" s="22">
        <v>1</v>
      </c>
    </row>
    <row r="31" spans="1:64" x14ac:dyDescent="0.25">
      <c r="A31" s="20">
        <v>27</v>
      </c>
      <c r="B31" s="22">
        <v>74</v>
      </c>
      <c r="C31" s="1">
        <v>58</v>
      </c>
      <c r="D31" s="2">
        <v>1.55</v>
      </c>
      <c r="E31" s="1">
        <v>24.141519250780433</v>
      </c>
      <c r="F31" s="1">
        <v>8.1999999999999993</v>
      </c>
      <c r="G31" s="1">
        <v>15</v>
      </c>
      <c r="H31" s="23">
        <v>3.6</v>
      </c>
      <c r="I31" s="7">
        <v>81</v>
      </c>
      <c r="J31" s="1">
        <v>81</v>
      </c>
      <c r="K31" s="1">
        <v>63</v>
      </c>
      <c r="L31" s="23">
        <v>1.2857142857142858</v>
      </c>
      <c r="M31" s="20">
        <v>65</v>
      </c>
      <c r="N31" s="20">
        <v>64</v>
      </c>
      <c r="O31" s="22">
        <v>76</v>
      </c>
      <c r="P31" s="20">
        <v>18</v>
      </c>
      <c r="Q31" s="20">
        <v>110</v>
      </c>
      <c r="R31" s="20">
        <v>70</v>
      </c>
      <c r="S31" s="20">
        <v>96</v>
      </c>
      <c r="T31" s="22">
        <v>78</v>
      </c>
      <c r="U31" s="20">
        <v>20</v>
      </c>
      <c r="V31" s="20">
        <v>120</v>
      </c>
      <c r="W31" s="20">
        <v>80</v>
      </c>
      <c r="X31" s="20">
        <v>86</v>
      </c>
      <c r="Y31" s="43">
        <v>-10.416666666666668</v>
      </c>
      <c r="Z31" s="20">
        <v>1</v>
      </c>
      <c r="AA31" s="22">
        <v>4</v>
      </c>
      <c r="AB31" s="20">
        <v>5</v>
      </c>
      <c r="AC31" s="20">
        <v>6</v>
      </c>
      <c r="AD31" s="24">
        <v>364</v>
      </c>
      <c r="AE31" s="25">
        <v>509.67280124869922</v>
      </c>
      <c r="AF31" s="26">
        <v>71.418368629481392</v>
      </c>
      <c r="AG31" s="7">
        <v>609</v>
      </c>
      <c r="AH31" s="1">
        <v>16.899999999999999</v>
      </c>
      <c r="AI31" s="1">
        <v>53.9</v>
      </c>
      <c r="AJ31" s="2">
        <v>-1.9</v>
      </c>
      <c r="AK31" s="1">
        <v>98</v>
      </c>
      <c r="AL31" s="1">
        <v>19.399999999999999</v>
      </c>
      <c r="AM31" s="1">
        <v>46.1</v>
      </c>
      <c r="AN31" s="1">
        <v>3.5</v>
      </c>
      <c r="AO31" s="1">
        <v>609</v>
      </c>
      <c r="AP31" s="1">
        <v>98</v>
      </c>
      <c r="AQ31" s="1">
        <v>79</v>
      </c>
      <c r="AR31" s="1">
        <v>107</v>
      </c>
      <c r="AS31" s="1">
        <v>11.1</v>
      </c>
      <c r="AT31" s="1">
        <v>16.899999999999999</v>
      </c>
      <c r="AU31" s="2">
        <v>7</v>
      </c>
      <c r="AV31" s="2">
        <v>1.19</v>
      </c>
      <c r="AW31" s="2">
        <v>1.96</v>
      </c>
      <c r="AX31" s="1">
        <v>146</v>
      </c>
      <c r="AY31" s="1">
        <v>19.399999999999999</v>
      </c>
      <c r="AZ31" s="1">
        <v>12</v>
      </c>
      <c r="BA31" s="1">
        <v>10.199999999999999</v>
      </c>
      <c r="BB31" s="1">
        <v>0.85</v>
      </c>
      <c r="BC31" s="1">
        <v>1.288</v>
      </c>
      <c r="BD31" s="1">
        <v>1.367</v>
      </c>
      <c r="BE31" s="12">
        <v>22</v>
      </c>
      <c r="BF31" s="1">
        <v>4</v>
      </c>
      <c r="BG31" s="1">
        <v>8</v>
      </c>
      <c r="BH31" s="1">
        <v>10</v>
      </c>
      <c r="BI31" s="1">
        <v>42.09</v>
      </c>
      <c r="BJ31" s="1">
        <v>57.77</v>
      </c>
      <c r="BK31" s="1">
        <v>0.72899999999999998</v>
      </c>
      <c r="BL31" s="22">
        <v>1</v>
      </c>
    </row>
    <row r="32" spans="1:64" x14ac:dyDescent="0.25">
      <c r="A32" s="20">
        <v>28</v>
      </c>
      <c r="B32" s="22">
        <v>54</v>
      </c>
      <c r="C32" s="1">
        <v>81</v>
      </c>
      <c r="D32" s="2">
        <v>1.52</v>
      </c>
      <c r="E32" s="1">
        <v>35.05886426592798</v>
      </c>
      <c r="F32" s="1">
        <v>19.399999999999999</v>
      </c>
      <c r="G32" s="1">
        <v>25</v>
      </c>
      <c r="H32" s="23">
        <v>0.62</v>
      </c>
      <c r="I32" s="7">
        <v>93.6</v>
      </c>
      <c r="J32" s="1">
        <v>87.4</v>
      </c>
      <c r="K32" s="1">
        <v>123</v>
      </c>
      <c r="L32" s="23">
        <v>0.76097560975609746</v>
      </c>
      <c r="M32" s="20">
        <v>74</v>
      </c>
      <c r="N32" s="20">
        <v>62</v>
      </c>
      <c r="O32" s="22">
        <v>73</v>
      </c>
      <c r="P32" s="20">
        <v>18</v>
      </c>
      <c r="Q32" s="20">
        <v>130</v>
      </c>
      <c r="R32" s="20">
        <v>60</v>
      </c>
      <c r="S32" s="20">
        <v>98</v>
      </c>
      <c r="T32" s="22">
        <v>132</v>
      </c>
      <c r="U32" s="20">
        <v>21</v>
      </c>
      <c r="V32" s="20">
        <v>150</v>
      </c>
      <c r="W32" s="20">
        <v>80</v>
      </c>
      <c r="X32" s="20">
        <v>97</v>
      </c>
      <c r="Y32" s="43">
        <v>-1.0204081632653061</v>
      </c>
      <c r="Z32" s="20">
        <v>2</v>
      </c>
      <c r="AA32" s="22">
        <v>0</v>
      </c>
      <c r="AB32" s="20">
        <v>1</v>
      </c>
      <c r="AC32" s="20">
        <v>3</v>
      </c>
      <c r="AD32" s="24">
        <v>422</v>
      </c>
      <c r="AE32" s="25">
        <v>490.38533102493068</v>
      </c>
      <c r="AF32" s="26">
        <v>86.054776377180403</v>
      </c>
      <c r="AG32" s="7">
        <v>457</v>
      </c>
      <c r="AH32" s="1">
        <v>12.6</v>
      </c>
      <c r="AI32" s="1">
        <v>54.2</v>
      </c>
      <c r="AJ32" s="2">
        <v>-3.25</v>
      </c>
      <c r="AK32" s="1">
        <v>131</v>
      </c>
      <c r="AL32" s="1">
        <v>28.8</v>
      </c>
      <c r="AM32" s="1">
        <v>45.8</v>
      </c>
      <c r="AN32" s="1">
        <v>8.2200000000000006</v>
      </c>
      <c r="AO32" s="1">
        <v>457</v>
      </c>
      <c r="AP32" s="1">
        <v>131</v>
      </c>
      <c r="AQ32" s="1">
        <v>91</v>
      </c>
      <c r="AR32" s="1">
        <v>138</v>
      </c>
      <c r="AS32" s="1">
        <v>8.3000000000000007</v>
      </c>
      <c r="AT32" s="1">
        <v>12.6</v>
      </c>
      <c r="AU32" s="2">
        <v>14</v>
      </c>
      <c r="AV32" s="2">
        <v>1.79</v>
      </c>
      <c r="AW32" s="2">
        <v>1.39</v>
      </c>
      <c r="AX32" s="1">
        <v>87</v>
      </c>
      <c r="AY32" s="1">
        <v>28.8</v>
      </c>
      <c r="AZ32" s="1">
        <v>8.9</v>
      </c>
      <c r="BA32" s="1">
        <v>7.6</v>
      </c>
      <c r="BB32" s="1">
        <v>0.8539325842696629</v>
      </c>
      <c r="BC32" s="1">
        <v>1.145</v>
      </c>
      <c r="BD32" s="1">
        <v>1.1299999999999999</v>
      </c>
      <c r="BE32" s="12">
        <v>8</v>
      </c>
      <c r="BF32" s="1">
        <v>0</v>
      </c>
      <c r="BG32" s="1">
        <v>2</v>
      </c>
      <c r="BH32" s="1">
        <v>5</v>
      </c>
      <c r="BI32" s="1">
        <v>31.43</v>
      </c>
      <c r="BJ32" s="1">
        <v>68.319999999999993</v>
      </c>
      <c r="BK32" s="1">
        <v>0.46</v>
      </c>
      <c r="BL32" s="22">
        <v>1</v>
      </c>
    </row>
    <row r="33" spans="1:64" x14ac:dyDescent="0.25">
      <c r="A33" s="20">
        <v>29</v>
      </c>
      <c r="B33" s="22">
        <v>47</v>
      </c>
      <c r="C33" s="1">
        <v>70</v>
      </c>
      <c r="D33" s="2">
        <v>1.59</v>
      </c>
      <c r="E33" s="1">
        <v>27.688778133776353</v>
      </c>
      <c r="F33" s="1">
        <v>15</v>
      </c>
      <c r="G33" s="1">
        <v>15</v>
      </c>
      <c r="H33" s="23">
        <v>1.37</v>
      </c>
      <c r="I33" s="7">
        <v>65.2</v>
      </c>
      <c r="J33" s="1">
        <v>63.7</v>
      </c>
      <c r="K33" s="1">
        <v>52</v>
      </c>
      <c r="L33" s="23">
        <v>1.2538461538461538</v>
      </c>
      <c r="M33" s="20">
        <v>48</v>
      </c>
      <c r="N33" s="20">
        <v>31</v>
      </c>
      <c r="O33" s="22">
        <v>82</v>
      </c>
      <c r="P33" s="20">
        <v>18</v>
      </c>
      <c r="Q33" s="20">
        <v>110</v>
      </c>
      <c r="R33" s="20">
        <v>80</v>
      </c>
      <c r="S33" s="20">
        <v>99</v>
      </c>
      <c r="T33" s="22">
        <v>108</v>
      </c>
      <c r="U33" s="20">
        <v>25</v>
      </c>
      <c r="V33" s="20">
        <v>111</v>
      </c>
      <c r="W33" s="20">
        <v>70</v>
      </c>
      <c r="X33" s="20">
        <v>99</v>
      </c>
      <c r="Y33" s="43">
        <v>0</v>
      </c>
      <c r="Z33" s="20">
        <v>2</v>
      </c>
      <c r="AA33" s="22">
        <v>7</v>
      </c>
      <c r="AB33" s="20">
        <v>7</v>
      </c>
      <c r="AC33" s="20">
        <v>8</v>
      </c>
      <c r="AD33" s="24">
        <v>438</v>
      </c>
      <c r="AE33" s="25">
        <v>544.65615048850918</v>
      </c>
      <c r="AF33" s="26">
        <v>80.417709339580966</v>
      </c>
      <c r="AG33" s="7">
        <v>575</v>
      </c>
      <c r="AH33" s="1">
        <v>6.7</v>
      </c>
      <c r="AI33" s="1">
        <v>24.7</v>
      </c>
      <c r="AJ33" s="2">
        <v>-2.69</v>
      </c>
      <c r="AK33" s="1">
        <v>104</v>
      </c>
      <c r="AL33" s="1">
        <v>26.7</v>
      </c>
      <c r="AM33" s="1">
        <v>75.3</v>
      </c>
      <c r="AN33" s="1">
        <v>5.42</v>
      </c>
      <c r="AO33" s="1">
        <v>575</v>
      </c>
      <c r="AP33" s="1">
        <v>104</v>
      </c>
      <c r="AQ33" s="1">
        <v>82</v>
      </c>
      <c r="AR33" s="1">
        <v>110</v>
      </c>
      <c r="AS33" s="1">
        <v>10.7</v>
      </c>
      <c r="AT33" s="1">
        <v>6.7</v>
      </c>
      <c r="AU33" s="2">
        <v>1</v>
      </c>
      <c r="AV33" s="2">
        <v>0.16</v>
      </c>
      <c r="AW33" s="2">
        <v>2.86</v>
      </c>
      <c r="AX33" s="1">
        <v>84</v>
      </c>
      <c r="AY33" s="1">
        <v>26.7</v>
      </c>
      <c r="AZ33" s="1">
        <v>4.7</v>
      </c>
      <c r="BA33" s="1">
        <v>14.4</v>
      </c>
      <c r="BB33" s="1">
        <v>3.0638297872340425</v>
      </c>
      <c r="BC33" s="1">
        <v>1.268</v>
      </c>
      <c r="BD33" s="1">
        <v>1.379</v>
      </c>
      <c r="BE33" s="12">
        <v>68</v>
      </c>
      <c r="BF33" s="1">
        <v>12</v>
      </c>
      <c r="BG33" s="1">
        <v>54</v>
      </c>
      <c r="BH33" s="1">
        <v>2</v>
      </c>
      <c r="BI33" s="1">
        <v>96.15</v>
      </c>
      <c r="BJ33" s="1">
        <v>3.84</v>
      </c>
      <c r="BK33" s="1">
        <v>25.021000000000001</v>
      </c>
      <c r="BL33" s="22">
        <v>1</v>
      </c>
    </row>
    <row r="34" spans="1:64" x14ac:dyDescent="0.25">
      <c r="A34" s="20">
        <v>30</v>
      </c>
      <c r="B34" s="22">
        <v>58</v>
      </c>
      <c r="C34" s="1">
        <v>71.5</v>
      </c>
      <c r="D34" s="2">
        <v>1.52</v>
      </c>
      <c r="E34" s="1">
        <v>30.947022160664819</v>
      </c>
      <c r="F34" s="1"/>
      <c r="G34" s="1">
        <v>57.14</v>
      </c>
      <c r="H34" s="23">
        <v>0.2</v>
      </c>
      <c r="I34" s="7">
        <v>79</v>
      </c>
      <c r="J34" s="1">
        <v>79</v>
      </c>
      <c r="K34" s="1">
        <v>129</v>
      </c>
      <c r="L34" s="23">
        <v>0.61240310077519378</v>
      </c>
      <c r="M34" s="20">
        <v>79</v>
      </c>
      <c r="N34" s="20">
        <v>48</v>
      </c>
      <c r="O34" s="22">
        <v>70</v>
      </c>
      <c r="P34" s="20">
        <v>20</v>
      </c>
      <c r="Q34" s="20">
        <v>130</v>
      </c>
      <c r="R34" s="20">
        <v>80</v>
      </c>
      <c r="S34" s="20">
        <v>95</v>
      </c>
      <c r="T34" s="22">
        <v>129</v>
      </c>
      <c r="U34" s="20">
        <v>28</v>
      </c>
      <c r="V34" s="20">
        <v>150</v>
      </c>
      <c r="W34" s="28">
        <v>10</v>
      </c>
      <c r="X34" s="20">
        <v>99</v>
      </c>
      <c r="Y34" s="43">
        <v>4.2105263157894735</v>
      </c>
      <c r="Z34" s="20">
        <v>2</v>
      </c>
      <c r="AA34" s="22">
        <v>2</v>
      </c>
      <c r="AB34" s="20">
        <v>3</v>
      </c>
      <c r="AC34" s="20">
        <v>3</v>
      </c>
      <c r="AD34" s="24">
        <v>535</v>
      </c>
      <c r="AE34" s="25">
        <v>501.42600207756237</v>
      </c>
      <c r="AF34" s="26">
        <v>106.69570341053918</v>
      </c>
      <c r="AG34" s="7">
        <v>501</v>
      </c>
      <c r="AH34" s="1">
        <v>20.2</v>
      </c>
      <c r="AI34" s="1">
        <v>54.9</v>
      </c>
      <c r="AJ34" s="2">
        <v>-2.59</v>
      </c>
      <c r="AK34" s="1">
        <v>120</v>
      </c>
      <c r="AL34" s="1">
        <v>17.5</v>
      </c>
      <c r="AM34" s="1">
        <v>45.1</v>
      </c>
      <c r="AN34" s="1">
        <v>5.04</v>
      </c>
      <c r="AO34" s="1">
        <v>501</v>
      </c>
      <c r="AP34" s="1">
        <v>120</v>
      </c>
      <c r="AQ34" s="1">
        <v>85</v>
      </c>
      <c r="AR34" s="1">
        <v>128</v>
      </c>
      <c r="AS34" s="1">
        <v>13.1</v>
      </c>
      <c r="AT34" s="1">
        <v>20.2</v>
      </c>
      <c r="AU34" s="2">
        <v>8</v>
      </c>
      <c r="AV34" s="2">
        <v>1.1299999999999999</v>
      </c>
      <c r="AW34" s="2">
        <v>1.73</v>
      </c>
      <c r="AX34" s="1">
        <v>221</v>
      </c>
      <c r="AY34" s="1">
        <v>17.5</v>
      </c>
      <c r="AZ34" s="1">
        <v>14.3</v>
      </c>
      <c r="BA34" s="1">
        <v>11.7</v>
      </c>
      <c r="BB34" s="1">
        <v>0.81818181818181812</v>
      </c>
      <c r="BC34" s="1">
        <v>0.94899999999999995</v>
      </c>
      <c r="BD34" s="1">
        <v>0.92</v>
      </c>
      <c r="BE34" s="12">
        <v>20</v>
      </c>
      <c r="BF34" s="1">
        <v>2</v>
      </c>
      <c r="BG34" s="1">
        <v>11</v>
      </c>
      <c r="BH34" s="1">
        <v>7</v>
      </c>
      <c r="BI34" s="1">
        <v>59.78</v>
      </c>
      <c r="BJ34" s="1">
        <v>40.1</v>
      </c>
      <c r="BK34" s="1">
        <v>1.494</v>
      </c>
      <c r="BL34" s="22">
        <v>1</v>
      </c>
    </row>
    <row r="35" spans="1:64" x14ac:dyDescent="0.25">
      <c r="A35" s="20">
        <v>31</v>
      </c>
      <c r="B35" s="22">
        <v>39</v>
      </c>
      <c r="C35" s="1">
        <v>77</v>
      </c>
      <c r="D35" s="2">
        <v>1.59</v>
      </c>
      <c r="E35" s="1">
        <v>30.457655947153988</v>
      </c>
      <c r="F35" s="1">
        <v>29.8</v>
      </c>
      <c r="G35" s="1">
        <v>27.2</v>
      </c>
      <c r="H35" s="23">
        <v>0.6</v>
      </c>
      <c r="I35" s="7">
        <v>76</v>
      </c>
      <c r="J35" s="1">
        <v>70</v>
      </c>
      <c r="K35" s="1">
        <v>116</v>
      </c>
      <c r="L35" s="23">
        <v>0.65517241379310343</v>
      </c>
      <c r="M35" s="20">
        <v>74</v>
      </c>
      <c r="N35" s="20">
        <v>55</v>
      </c>
      <c r="O35" s="22">
        <v>94</v>
      </c>
      <c r="P35" s="20">
        <v>18</v>
      </c>
      <c r="Q35" s="20">
        <v>130</v>
      </c>
      <c r="R35" s="20">
        <v>70</v>
      </c>
      <c r="S35" s="20">
        <v>99</v>
      </c>
      <c r="T35" s="22">
        <v>149</v>
      </c>
      <c r="U35" s="20">
        <v>30</v>
      </c>
      <c r="V35" s="20">
        <v>130</v>
      </c>
      <c r="W35" s="20">
        <v>80</v>
      </c>
      <c r="X35" s="20">
        <v>99</v>
      </c>
      <c r="Y35" s="43">
        <v>0</v>
      </c>
      <c r="Z35" s="20">
        <v>2</v>
      </c>
      <c r="AA35" s="22">
        <v>4</v>
      </c>
      <c r="AB35" s="20">
        <v>6</v>
      </c>
      <c r="AC35" s="20">
        <v>6</v>
      </c>
      <c r="AD35" s="24">
        <v>498</v>
      </c>
      <c r="AE35" s="25">
        <v>556.31571553736012</v>
      </c>
      <c r="AF35" s="26">
        <v>89.517514262376821</v>
      </c>
      <c r="AG35" s="7">
        <v>423</v>
      </c>
      <c r="AH35" s="1">
        <v>9.6999999999999993</v>
      </c>
      <c r="AI35" s="1">
        <v>44.2</v>
      </c>
      <c r="AJ35" s="2">
        <v>-3.7</v>
      </c>
      <c r="AK35" s="1">
        <v>142</v>
      </c>
      <c r="AL35" s="1">
        <v>23.3</v>
      </c>
      <c r="AM35" s="1">
        <v>55.8</v>
      </c>
      <c r="AN35" s="1">
        <v>8.35</v>
      </c>
      <c r="AO35" s="1">
        <v>423</v>
      </c>
      <c r="AP35" s="1">
        <v>142</v>
      </c>
      <c r="AQ35" s="1">
        <v>101</v>
      </c>
      <c r="AR35" s="1">
        <v>155</v>
      </c>
      <c r="AS35" s="1">
        <v>7.8</v>
      </c>
      <c r="AT35" s="1">
        <v>9.6999999999999993</v>
      </c>
      <c r="AU35" s="2">
        <v>7</v>
      </c>
      <c r="AV35" s="2">
        <v>0.83</v>
      </c>
      <c r="AW35" s="2">
        <v>1.41</v>
      </c>
      <c r="AX35" s="1">
        <v>106</v>
      </c>
      <c r="AY35" s="1">
        <v>23.3</v>
      </c>
      <c r="AZ35" s="1">
        <v>6.9</v>
      </c>
      <c r="BA35" s="1">
        <v>8.6999999999999993</v>
      </c>
      <c r="BB35" s="1">
        <v>1.2608695652173911</v>
      </c>
      <c r="BC35" s="1">
        <v>1.2450000000000001</v>
      </c>
      <c r="BD35" s="1">
        <v>1.2989999999999999</v>
      </c>
      <c r="BE35" s="12">
        <v>7</v>
      </c>
      <c r="BF35" s="1">
        <v>1</v>
      </c>
      <c r="BG35" s="1">
        <v>5</v>
      </c>
      <c r="BH35" s="1">
        <v>1</v>
      </c>
      <c r="BI35" s="1">
        <v>75.27</v>
      </c>
      <c r="BJ35" s="1">
        <v>24.56</v>
      </c>
      <c r="BK35" s="1">
        <v>3.0649999999999999</v>
      </c>
      <c r="BL35" s="22">
        <v>1</v>
      </c>
    </row>
    <row r="36" spans="1:64" x14ac:dyDescent="0.25">
      <c r="A36" s="20">
        <v>32</v>
      </c>
      <c r="B36" s="22">
        <v>71</v>
      </c>
      <c r="C36" s="1">
        <v>59</v>
      </c>
      <c r="D36" s="2">
        <v>1.47</v>
      </c>
      <c r="E36" s="1">
        <v>27.303438382155587</v>
      </c>
      <c r="F36" s="1">
        <v>6.4</v>
      </c>
      <c r="G36" s="1">
        <v>14.4</v>
      </c>
      <c r="H36" s="23">
        <v>2.4</v>
      </c>
      <c r="I36" s="7">
        <v>89</v>
      </c>
      <c r="J36" s="1">
        <v>87</v>
      </c>
      <c r="K36" s="1">
        <v>77</v>
      </c>
      <c r="L36" s="23">
        <v>1.1558441558441559</v>
      </c>
      <c r="M36" s="20">
        <v>34</v>
      </c>
      <c r="N36" s="20">
        <v>30</v>
      </c>
      <c r="O36" s="22">
        <v>71</v>
      </c>
      <c r="P36" s="20">
        <v>16</v>
      </c>
      <c r="Q36" s="20">
        <v>110</v>
      </c>
      <c r="R36" s="20">
        <v>60</v>
      </c>
      <c r="S36" s="20"/>
      <c r="T36" s="22">
        <v>118</v>
      </c>
      <c r="U36" s="20">
        <v>25</v>
      </c>
      <c r="V36" s="20">
        <v>140</v>
      </c>
      <c r="W36" s="20">
        <v>70</v>
      </c>
      <c r="X36" s="20"/>
      <c r="Y36" s="43"/>
      <c r="Z36" s="20"/>
      <c r="AA36" s="22">
        <v>2</v>
      </c>
      <c r="AB36" s="20">
        <v>3</v>
      </c>
      <c r="AC36" s="20">
        <v>4</v>
      </c>
      <c r="AD36" s="24">
        <v>264</v>
      </c>
      <c r="AE36" s="25">
        <v>497.59675507890233</v>
      </c>
      <c r="AF36" s="26">
        <v>53.055008358753938</v>
      </c>
      <c r="AG36" s="7">
        <v>543</v>
      </c>
      <c r="AH36" s="1">
        <v>23.8</v>
      </c>
      <c r="AI36" s="1">
        <v>51.8</v>
      </c>
      <c r="AJ36" s="2">
        <v>-2.16</v>
      </c>
      <c r="AK36" s="1">
        <v>111</v>
      </c>
      <c r="AL36" s="1">
        <v>19.7</v>
      </c>
      <c r="AM36" s="1">
        <v>48.2</v>
      </c>
      <c r="AN36" s="1">
        <v>4.55</v>
      </c>
      <c r="AO36" s="1">
        <v>543</v>
      </c>
      <c r="AP36" s="1">
        <v>111</v>
      </c>
      <c r="AQ36" s="1">
        <v>81</v>
      </c>
      <c r="AR36" s="1">
        <v>124</v>
      </c>
      <c r="AS36" s="1">
        <v>16.2</v>
      </c>
      <c r="AT36" s="1">
        <v>23.8</v>
      </c>
      <c r="AU36" s="2">
        <v>39</v>
      </c>
      <c r="AV36" s="2">
        <v>5.99</v>
      </c>
      <c r="AW36" s="2">
        <v>2.2200000000000002</v>
      </c>
      <c r="AX36" s="1">
        <v>159</v>
      </c>
      <c r="AY36" s="1">
        <v>19.7</v>
      </c>
      <c r="AZ36" s="1">
        <v>16.8</v>
      </c>
      <c r="BA36" s="1">
        <v>15.7</v>
      </c>
      <c r="BB36" s="1">
        <v>0.93452380952380942</v>
      </c>
      <c r="BC36" s="1">
        <v>0.73499999999999999</v>
      </c>
      <c r="BD36" s="1">
        <v>0.69399999999999995</v>
      </c>
      <c r="BE36" s="12">
        <v>457</v>
      </c>
      <c r="BF36" s="1">
        <v>16</v>
      </c>
      <c r="BG36" s="1">
        <v>135</v>
      </c>
      <c r="BH36" s="1">
        <v>306</v>
      </c>
      <c r="BI36" s="1">
        <v>30.52</v>
      </c>
      <c r="BJ36" s="1">
        <v>69.45</v>
      </c>
      <c r="BK36" s="1">
        <v>0.439</v>
      </c>
      <c r="BL36" s="22">
        <v>1</v>
      </c>
    </row>
    <row r="37" spans="1:64" x14ac:dyDescent="0.25">
      <c r="A37" s="20">
        <v>33</v>
      </c>
      <c r="B37" s="22">
        <v>57</v>
      </c>
      <c r="C37" s="1">
        <v>58</v>
      </c>
      <c r="D37" s="2">
        <v>1.48</v>
      </c>
      <c r="E37" s="1">
        <v>26.479181884587291</v>
      </c>
      <c r="F37" s="1">
        <v>25.3</v>
      </c>
      <c r="G37" s="1">
        <v>21.3</v>
      </c>
      <c r="H37" s="23">
        <v>0.4</v>
      </c>
      <c r="I37" s="7">
        <v>97</v>
      </c>
      <c r="J37" s="1">
        <v>94</v>
      </c>
      <c r="K37" s="1">
        <v>91</v>
      </c>
      <c r="L37" s="23">
        <v>1.06593</v>
      </c>
      <c r="M37" s="20">
        <v>69</v>
      </c>
      <c r="N37" s="20">
        <v>37</v>
      </c>
      <c r="O37" s="22">
        <v>75</v>
      </c>
      <c r="P37" s="20">
        <v>20</v>
      </c>
      <c r="Q37" s="20">
        <v>110</v>
      </c>
      <c r="R37" s="20">
        <v>80</v>
      </c>
      <c r="S37" s="20"/>
      <c r="T37" s="22">
        <v>144</v>
      </c>
      <c r="U37" s="20">
        <v>24</v>
      </c>
      <c r="V37" s="20">
        <v>140</v>
      </c>
      <c r="W37" s="20">
        <v>90</v>
      </c>
      <c r="X37" s="20"/>
      <c r="Y37" s="43"/>
      <c r="Z37" s="20"/>
      <c r="AA37" s="22">
        <v>5</v>
      </c>
      <c r="AB37" s="20">
        <v>5</v>
      </c>
      <c r="AC37" s="20">
        <v>5</v>
      </c>
      <c r="AD37" s="24">
        <v>477</v>
      </c>
      <c r="AE37" s="25">
        <v>525.32688422206002</v>
      </c>
      <c r="AF37" s="26">
        <v>90.800607074654906</v>
      </c>
      <c r="AG37" s="7">
        <v>407</v>
      </c>
      <c r="AH37" s="1">
        <v>51.2</v>
      </c>
      <c r="AI37" s="1">
        <v>40.4</v>
      </c>
      <c r="AJ37" s="2">
        <v>-2.5</v>
      </c>
      <c r="AK37" s="1">
        <v>147</v>
      </c>
      <c r="AL37" s="1">
        <v>10.3</v>
      </c>
      <c r="AM37" s="1">
        <v>59.6</v>
      </c>
      <c r="AN37" s="1">
        <v>6.45</v>
      </c>
      <c r="AO37" s="1">
        <v>407</v>
      </c>
      <c r="AP37" s="1">
        <v>147</v>
      </c>
      <c r="AQ37" s="1">
        <v>90</v>
      </c>
      <c r="AR37" s="1">
        <v>184</v>
      </c>
      <c r="AS37" s="1">
        <v>45.6</v>
      </c>
      <c r="AT37" s="1">
        <v>51.2</v>
      </c>
      <c r="AU37" s="2">
        <v>114</v>
      </c>
      <c r="AV37" s="2">
        <v>17.14</v>
      </c>
      <c r="AW37" s="2">
        <v>4.5599999999999996</v>
      </c>
      <c r="AX37" s="1">
        <v>353</v>
      </c>
      <c r="AY37" s="1">
        <v>10.3</v>
      </c>
      <c r="AZ37" s="1">
        <v>36.200000000000003</v>
      </c>
      <c r="BA37" s="1">
        <v>53.4</v>
      </c>
      <c r="BB37" s="1">
        <v>1.4751381215469612</v>
      </c>
      <c r="BC37" s="1">
        <v>0.67800000000000005</v>
      </c>
      <c r="BD37" s="1">
        <v>0.36199999999999999</v>
      </c>
      <c r="BE37" s="12">
        <v>1706</v>
      </c>
      <c r="BF37" s="1">
        <v>64</v>
      </c>
      <c r="BG37" s="1">
        <v>701</v>
      </c>
      <c r="BH37" s="1">
        <v>933</v>
      </c>
      <c r="BI37" s="1">
        <v>42.72</v>
      </c>
      <c r="BJ37" s="1">
        <v>56.82</v>
      </c>
      <c r="BK37" s="1">
        <v>0.752</v>
      </c>
      <c r="BL37" s="22">
        <v>1</v>
      </c>
    </row>
    <row r="38" spans="1:64" x14ac:dyDescent="0.25">
      <c r="A38" s="20">
        <v>34</v>
      </c>
      <c r="B38" s="22">
        <v>39</v>
      </c>
      <c r="C38" s="1">
        <v>56.5</v>
      </c>
      <c r="D38" s="2">
        <v>1.54</v>
      </c>
      <c r="E38" s="1">
        <v>23.823579018384216</v>
      </c>
      <c r="F38" s="1">
        <v>23</v>
      </c>
      <c r="G38" s="1">
        <v>7.6</v>
      </c>
      <c r="H38" s="23">
        <v>2.4</v>
      </c>
      <c r="I38" s="7">
        <v>56</v>
      </c>
      <c r="J38" s="1">
        <v>60</v>
      </c>
      <c r="K38" s="1">
        <v>68</v>
      </c>
      <c r="L38" s="23">
        <v>0.82352999999999998</v>
      </c>
      <c r="M38" s="20">
        <v>91</v>
      </c>
      <c r="N38" s="20">
        <v>65</v>
      </c>
      <c r="O38" s="22">
        <v>59</v>
      </c>
      <c r="P38" s="20">
        <v>32</v>
      </c>
      <c r="Q38" s="20">
        <v>120</v>
      </c>
      <c r="R38" s="20">
        <v>80</v>
      </c>
      <c r="S38" s="20"/>
      <c r="T38" s="22">
        <v>97</v>
      </c>
      <c r="U38" s="20">
        <v>40</v>
      </c>
      <c r="V38" s="20">
        <v>140</v>
      </c>
      <c r="W38" s="20">
        <v>80</v>
      </c>
      <c r="X38" s="20"/>
      <c r="Y38" s="43"/>
      <c r="Z38" s="20"/>
      <c r="AA38" s="22">
        <v>5</v>
      </c>
      <c r="AB38" s="20">
        <v>2</v>
      </c>
      <c r="AC38" s="20">
        <v>3</v>
      </c>
      <c r="AD38" s="24">
        <v>435</v>
      </c>
      <c r="AE38" s="25">
        <v>588.62367018046893</v>
      </c>
      <c r="AF38" s="26">
        <v>73.901207517976857</v>
      </c>
      <c r="AG38" s="7">
        <v>615</v>
      </c>
      <c r="AH38" s="1">
        <v>20</v>
      </c>
      <c r="AI38" s="1">
        <v>34.5</v>
      </c>
      <c r="AJ38" s="2">
        <v>-2</v>
      </c>
      <c r="AK38" s="1">
        <v>98</v>
      </c>
      <c r="AL38" s="1">
        <v>12.6</v>
      </c>
      <c r="AM38" s="1">
        <v>65.5</v>
      </c>
      <c r="AN38" s="1">
        <v>2.57</v>
      </c>
      <c r="AO38" s="1">
        <v>615</v>
      </c>
      <c r="AP38" s="1">
        <v>98</v>
      </c>
      <c r="AQ38" s="1">
        <v>65</v>
      </c>
      <c r="AR38" s="1">
        <v>107</v>
      </c>
      <c r="AS38" s="1">
        <v>21.6</v>
      </c>
      <c r="AT38" s="1">
        <v>20</v>
      </c>
      <c r="AU38" s="2">
        <v>9</v>
      </c>
      <c r="AV38" s="2">
        <v>1.54</v>
      </c>
      <c r="AW38" s="2">
        <v>3.97</v>
      </c>
      <c r="AX38" s="1">
        <v>186</v>
      </c>
      <c r="AY38" s="1">
        <v>12.6</v>
      </c>
      <c r="AZ38" s="1">
        <v>14.2</v>
      </c>
      <c r="BA38" s="1">
        <v>26.9</v>
      </c>
      <c r="BB38" s="1">
        <v>1.8943661971830985</v>
      </c>
      <c r="BC38" s="1">
        <v>1.131</v>
      </c>
      <c r="BD38" s="1">
        <v>1.17</v>
      </c>
      <c r="BE38" s="12">
        <v>147</v>
      </c>
      <c r="BF38" s="1">
        <v>30</v>
      </c>
      <c r="BG38" s="1">
        <v>93</v>
      </c>
      <c r="BH38" s="1">
        <v>24</v>
      </c>
      <c r="BI38" s="1">
        <v>79.37</v>
      </c>
      <c r="BJ38" s="1">
        <v>20.57</v>
      </c>
      <c r="BK38" s="1">
        <v>3.8570000000000002</v>
      </c>
      <c r="BL38" s="22">
        <v>1</v>
      </c>
    </row>
    <row r="39" spans="1:64" x14ac:dyDescent="0.25">
      <c r="A39" s="20">
        <v>35</v>
      </c>
      <c r="B39" s="22">
        <v>26</v>
      </c>
      <c r="C39" s="1">
        <v>49</v>
      </c>
      <c r="D39" s="2">
        <v>1.6</v>
      </c>
      <c r="E39" s="1">
        <v>19.140624999999996</v>
      </c>
      <c r="F39" s="1">
        <v>28.2</v>
      </c>
      <c r="G39" s="1">
        <v>45.2</v>
      </c>
      <c r="H39" s="23">
        <v>1.2</v>
      </c>
      <c r="I39" s="7">
        <v>79</v>
      </c>
      <c r="J39" s="1">
        <v>80</v>
      </c>
      <c r="K39" s="1">
        <v>118</v>
      </c>
      <c r="L39" s="23">
        <v>0.66949000000000003</v>
      </c>
      <c r="M39" s="20">
        <v>48</v>
      </c>
      <c r="N39" s="20">
        <v>34</v>
      </c>
      <c r="O39" s="22">
        <v>72</v>
      </c>
      <c r="P39" s="20">
        <v>25</v>
      </c>
      <c r="Q39" s="20">
        <v>120</v>
      </c>
      <c r="R39" s="20">
        <v>60</v>
      </c>
      <c r="S39" s="20"/>
      <c r="T39" s="22">
        <v>62</v>
      </c>
      <c r="U39" s="20">
        <v>30</v>
      </c>
      <c r="V39" s="20">
        <v>120</v>
      </c>
      <c r="W39" s="20">
        <v>80</v>
      </c>
      <c r="X39" s="20"/>
      <c r="Y39" s="43"/>
      <c r="Z39" s="20"/>
      <c r="AA39" s="22">
        <v>0</v>
      </c>
      <c r="AB39" s="20">
        <v>0</v>
      </c>
      <c r="AC39" s="20">
        <v>0</v>
      </c>
      <c r="AD39" s="24">
        <v>542</v>
      </c>
      <c r="AE39" s="25">
        <v>661.70715625000003</v>
      </c>
      <c r="AF39" s="26">
        <v>81.909345377432587</v>
      </c>
      <c r="AG39" s="7">
        <v>821</v>
      </c>
      <c r="AH39" s="1">
        <v>93</v>
      </c>
      <c r="AI39" s="1">
        <v>25.7</v>
      </c>
      <c r="AJ39" s="2">
        <v>0.82</v>
      </c>
      <c r="AK39" s="1">
        <v>73</v>
      </c>
      <c r="AL39" s="1">
        <v>4</v>
      </c>
      <c r="AM39" s="1">
        <v>74.3</v>
      </c>
      <c r="AN39" s="1">
        <v>-0.27</v>
      </c>
      <c r="AO39" s="1">
        <v>821</v>
      </c>
      <c r="AP39" s="1">
        <v>73</v>
      </c>
      <c r="AQ39" s="1">
        <v>47</v>
      </c>
      <c r="AR39" s="1">
        <v>144</v>
      </c>
      <c r="AS39" s="1">
        <v>142.4</v>
      </c>
      <c r="AT39" s="1">
        <v>93</v>
      </c>
      <c r="AU39" s="2">
        <v>142</v>
      </c>
      <c r="AV39" s="2">
        <v>44.1</v>
      </c>
      <c r="AW39" s="2">
        <v>20.190000000000001</v>
      </c>
      <c r="AX39" s="1">
        <v>644</v>
      </c>
      <c r="AY39" s="1">
        <v>4</v>
      </c>
      <c r="AZ39" s="1">
        <v>65.8</v>
      </c>
      <c r="BA39" s="1">
        <v>190.7</v>
      </c>
      <c r="BB39" s="1">
        <v>2.8981762917933129</v>
      </c>
      <c r="BC39" s="1">
        <v>0.80800000000000005</v>
      </c>
      <c r="BD39" s="1">
        <v>0.80700000000000005</v>
      </c>
      <c r="BE39" s="12">
        <v>23032</v>
      </c>
      <c r="BF39" s="1">
        <v>2935</v>
      </c>
      <c r="BG39" s="1">
        <v>16615</v>
      </c>
      <c r="BH39" s="1">
        <v>3483</v>
      </c>
      <c r="BI39" s="1">
        <v>82.67</v>
      </c>
      <c r="BJ39" s="1">
        <v>17.329999999999998</v>
      </c>
      <c r="BK39" s="1">
        <v>4.7709999999999999</v>
      </c>
      <c r="BL39" s="22">
        <v>1</v>
      </c>
    </row>
    <row r="40" spans="1:64" x14ac:dyDescent="0.25">
      <c r="A40" s="20">
        <v>36</v>
      </c>
      <c r="B40" s="22">
        <v>58</v>
      </c>
      <c r="C40" s="1">
        <v>67</v>
      </c>
      <c r="D40" s="2">
        <v>1.65</v>
      </c>
      <c r="E40" s="1">
        <v>24.609733700642796</v>
      </c>
      <c r="F40" s="1">
        <v>20</v>
      </c>
      <c r="G40" s="1">
        <v>22.9</v>
      </c>
      <c r="H40" s="23">
        <v>2.4</v>
      </c>
      <c r="I40" s="7">
        <v>56</v>
      </c>
      <c r="J40" s="1">
        <v>53</v>
      </c>
      <c r="K40" s="1">
        <v>109</v>
      </c>
      <c r="L40" s="23">
        <v>0.51375999999999999</v>
      </c>
      <c r="M40" s="20">
        <v>74</v>
      </c>
      <c r="N40" s="20">
        <v>74</v>
      </c>
      <c r="O40" s="22">
        <v>75</v>
      </c>
      <c r="P40" s="20">
        <v>18</v>
      </c>
      <c r="Q40" s="20">
        <v>130</v>
      </c>
      <c r="R40" s="20">
        <v>90</v>
      </c>
      <c r="S40" s="20"/>
      <c r="T40" s="22">
        <v>132</v>
      </c>
      <c r="U40" s="20">
        <v>38</v>
      </c>
      <c r="V40" s="20">
        <v>140</v>
      </c>
      <c r="W40" s="20">
        <v>90</v>
      </c>
      <c r="X40" s="20"/>
      <c r="Y40" s="43"/>
      <c r="Z40" s="20"/>
      <c r="AA40" s="22">
        <v>5</v>
      </c>
      <c r="AB40" s="20">
        <v>5</v>
      </c>
      <c r="AC40" s="20">
        <v>6</v>
      </c>
      <c r="AD40" s="24">
        <v>509</v>
      </c>
      <c r="AE40" s="25">
        <v>532.28859687786962</v>
      </c>
      <c r="AF40" s="26">
        <v>95.624817624411179</v>
      </c>
      <c r="AG40" s="7">
        <v>480</v>
      </c>
      <c r="AH40" s="1">
        <v>5.4</v>
      </c>
      <c r="AI40" s="1">
        <v>40.700000000000003</v>
      </c>
      <c r="AJ40" s="2">
        <v>-3.31</v>
      </c>
      <c r="AK40" s="1">
        <v>125</v>
      </c>
      <c r="AL40" s="1">
        <v>36.799999999999997</v>
      </c>
      <c r="AM40" s="1">
        <v>59.3</v>
      </c>
      <c r="AN40" s="1">
        <v>9.0299999999999994</v>
      </c>
      <c r="AO40" s="1">
        <v>480</v>
      </c>
      <c r="AP40" s="1">
        <v>125</v>
      </c>
      <c r="AQ40" s="1">
        <v>89</v>
      </c>
      <c r="AR40" s="1">
        <v>144</v>
      </c>
      <c r="AS40" s="1">
        <v>4.8</v>
      </c>
      <c r="AT40" s="1">
        <v>5.4</v>
      </c>
      <c r="AU40" s="2">
        <v>1</v>
      </c>
      <c r="AV40" s="2">
        <v>0.13</v>
      </c>
      <c r="AW40" s="2">
        <v>1.5</v>
      </c>
      <c r="AX40" s="1">
        <v>53</v>
      </c>
      <c r="AY40" s="1">
        <v>36.799999999999997</v>
      </c>
      <c r="AZ40" s="1">
        <v>3.8</v>
      </c>
      <c r="BA40" s="1">
        <v>5.5</v>
      </c>
      <c r="BB40" s="1">
        <v>1.4473684210526316</v>
      </c>
      <c r="BC40" s="1">
        <v>1.38</v>
      </c>
      <c r="BD40" s="1">
        <v>1.5129999999999999</v>
      </c>
      <c r="BE40" s="12">
        <v>3</v>
      </c>
      <c r="BF40" s="1">
        <v>0</v>
      </c>
      <c r="BG40" s="1">
        <v>1</v>
      </c>
      <c r="BH40" s="1">
        <v>1</v>
      </c>
      <c r="BI40" s="1">
        <v>54.82</v>
      </c>
      <c r="BJ40" s="1">
        <v>44.96</v>
      </c>
      <c r="BK40" s="1">
        <v>1.2190000000000001</v>
      </c>
      <c r="BL40" s="22">
        <v>1</v>
      </c>
    </row>
    <row r="41" spans="1:64" x14ac:dyDescent="0.25">
      <c r="A41" s="20">
        <v>37</v>
      </c>
      <c r="B41" s="22">
        <v>65</v>
      </c>
      <c r="C41" s="1">
        <v>93.5</v>
      </c>
      <c r="D41" s="2">
        <v>1.65</v>
      </c>
      <c r="E41" s="1">
        <v>34.343434343434346</v>
      </c>
      <c r="F41" s="1">
        <v>20</v>
      </c>
      <c r="G41" s="1">
        <v>61</v>
      </c>
      <c r="H41" s="23">
        <v>0.875</v>
      </c>
      <c r="I41" s="7">
        <v>60</v>
      </c>
      <c r="J41" s="1">
        <v>57</v>
      </c>
      <c r="K41" s="1">
        <v>48</v>
      </c>
      <c r="L41" s="20">
        <v>1.25</v>
      </c>
      <c r="M41" s="20">
        <v>36</v>
      </c>
      <c r="N41" s="20">
        <v>33</v>
      </c>
      <c r="O41" s="22">
        <v>95</v>
      </c>
      <c r="P41" s="20">
        <v>28</v>
      </c>
      <c r="Q41" s="20">
        <v>120</v>
      </c>
      <c r="R41" s="20">
        <v>80</v>
      </c>
      <c r="S41" s="20">
        <v>95</v>
      </c>
      <c r="T41" s="22">
        <v>121</v>
      </c>
      <c r="U41" s="20">
        <v>31</v>
      </c>
      <c r="V41" s="20">
        <v>130</v>
      </c>
      <c r="W41" s="20">
        <v>80</v>
      </c>
      <c r="X41" s="20">
        <v>94</v>
      </c>
      <c r="Y41" s="43">
        <v>-1.0526315789473684</v>
      </c>
      <c r="Z41" s="20">
        <v>2</v>
      </c>
      <c r="AA41" s="22">
        <v>1</v>
      </c>
      <c r="AB41" s="20">
        <v>1</v>
      </c>
      <c r="AC41" s="20">
        <v>2</v>
      </c>
      <c r="AD41" s="24">
        <v>267</v>
      </c>
      <c r="AE41" s="25">
        <v>471.8199747474747</v>
      </c>
      <c r="AF41" s="26">
        <v>56.589380333654269</v>
      </c>
      <c r="AG41" s="7">
        <v>503</v>
      </c>
      <c r="AH41" s="1">
        <v>1.9</v>
      </c>
      <c r="AI41" s="1">
        <v>35.01</v>
      </c>
      <c r="AJ41" s="2">
        <v>-3.24</v>
      </c>
      <c r="AK41" s="1">
        <v>119</v>
      </c>
      <c r="AL41" s="1">
        <v>58.6</v>
      </c>
      <c r="AM41" s="1">
        <v>64.900000000000006</v>
      </c>
      <c r="AN41" s="1">
        <v>12.14</v>
      </c>
      <c r="AO41" s="1">
        <v>503</v>
      </c>
      <c r="AP41" s="1">
        <v>119</v>
      </c>
      <c r="AQ41" s="1">
        <v>115</v>
      </c>
      <c r="AR41" s="1">
        <v>122</v>
      </c>
      <c r="AS41" s="1">
        <v>2</v>
      </c>
      <c r="AT41" s="1">
        <v>1.9</v>
      </c>
      <c r="AU41" s="2">
        <v>9</v>
      </c>
      <c r="AV41" s="2">
        <v>0</v>
      </c>
      <c r="AW41" s="2">
        <v>1.47</v>
      </c>
      <c r="AX41" s="1">
        <v>11</v>
      </c>
      <c r="AY41" s="1">
        <v>58.6</v>
      </c>
      <c r="AZ41" s="1">
        <v>1.4</v>
      </c>
      <c r="BA41" s="1">
        <v>2.5</v>
      </c>
      <c r="BB41" s="1">
        <v>1.7857142857142858</v>
      </c>
      <c r="BC41" s="1">
        <v>1.458</v>
      </c>
      <c r="BD41" s="1">
        <v>1.9</v>
      </c>
      <c r="BE41" s="12">
        <v>2</v>
      </c>
      <c r="BF41" s="1">
        <v>0</v>
      </c>
      <c r="BG41" s="1">
        <v>1</v>
      </c>
      <c r="BH41" s="1">
        <v>0</v>
      </c>
      <c r="BI41" s="1">
        <v>82.13</v>
      </c>
      <c r="BJ41" s="1">
        <v>17.66</v>
      </c>
      <c r="BK41" s="1">
        <v>4.6509999999999998</v>
      </c>
      <c r="BL41" s="22">
        <v>1</v>
      </c>
    </row>
    <row r="42" spans="1:64" x14ac:dyDescent="0.25">
      <c r="A42" s="20">
        <v>38</v>
      </c>
      <c r="B42" s="22">
        <v>42</v>
      </c>
      <c r="C42" s="1">
        <v>52.5</v>
      </c>
      <c r="D42" s="2">
        <v>1.63</v>
      </c>
      <c r="E42" s="1">
        <v>19.759870525800746</v>
      </c>
      <c r="F42" s="1">
        <v>13.8</v>
      </c>
      <c r="G42" s="1">
        <v>6.1</v>
      </c>
      <c r="H42" s="23">
        <v>2.375</v>
      </c>
      <c r="I42" s="7">
        <v>39</v>
      </c>
      <c r="J42" s="1">
        <v>42</v>
      </c>
      <c r="K42" s="1">
        <v>62</v>
      </c>
      <c r="L42" s="23">
        <v>0.62903225806451613</v>
      </c>
      <c r="M42" s="20">
        <v>24</v>
      </c>
      <c r="N42" s="20">
        <v>15</v>
      </c>
      <c r="O42" s="22">
        <v>100</v>
      </c>
      <c r="P42" s="20">
        <v>22</v>
      </c>
      <c r="Q42" s="20">
        <v>100</v>
      </c>
      <c r="R42" s="20">
        <v>60</v>
      </c>
      <c r="S42" s="20"/>
      <c r="T42" s="22">
        <v>131</v>
      </c>
      <c r="U42" s="20">
        <v>25</v>
      </c>
      <c r="V42" s="20">
        <v>110</v>
      </c>
      <c r="W42" s="20">
        <v>70</v>
      </c>
      <c r="X42" s="20"/>
      <c r="Y42" s="43"/>
      <c r="Z42" s="20"/>
      <c r="AA42" s="22">
        <v>0</v>
      </c>
      <c r="AB42" s="20">
        <v>0</v>
      </c>
      <c r="AC42" s="20">
        <v>1</v>
      </c>
      <c r="AD42" s="24">
        <v>352</v>
      </c>
      <c r="AE42" s="25">
        <v>598.46743053935052</v>
      </c>
      <c r="AF42" s="26">
        <v>58.816901645386245</v>
      </c>
      <c r="AG42" s="7">
        <v>524</v>
      </c>
      <c r="AH42" s="1">
        <v>35.9</v>
      </c>
      <c r="AI42" s="1">
        <v>25.6</v>
      </c>
      <c r="AJ42" s="2">
        <v>-2.177</v>
      </c>
      <c r="AK42" s="1">
        <v>114</v>
      </c>
      <c r="AL42" s="1">
        <v>11.9</v>
      </c>
      <c r="AM42" s="1">
        <v>74.400000000000006</v>
      </c>
      <c r="AN42" s="1">
        <v>3.81</v>
      </c>
      <c r="AO42" s="1">
        <v>524</v>
      </c>
      <c r="AP42" s="1">
        <v>114</v>
      </c>
      <c r="AQ42" s="1">
        <v>45</v>
      </c>
      <c r="AR42" s="1">
        <v>185</v>
      </c>
      <c r="AS42" s="1">
        <v>55.1</v>
      </c>
      <c r="AT42" s="1">
        <v>35.9</v>
      </c>
      <c r="AU42" s="2">
        <v>57</v>
      </c>
      <c r="AV42" s="2">
        <v>11.78</v>
      </c>
      <c r="AW42" s="2">
        <v>3.01</v>
      </c>
      <c r="AX42" s="1">
        <v>366</v>
      </c>
      <c r="AY42" s="1">
        <v>11.9</v>
      </c>
      <c r="AZ42" s="1">
        <v>25.4</v>
      </c>
      <c r="BA42" s="1">
        <v>73.7</v>
      </c>
      <c r="BB42" s="1">
        <v>2.9015748031496065</v>
      </c>
      <c r="BC42" s="1">
        <v>0.36799999999999999</v>
      </c>
      <c r="BD42" s="1">
        <v>0.122</v>
      </c>
      <c r="BE42" s="12">
        <v>5463</v>
      </c>
      <c r="BF42" s="1">
        <v>1020</v>
      </c>
      <c r="BG42" s="1">
        <v>3578</v>
      </c>
      <c r="BH42" s="1">
        <v>864</v>
      </c>
      <c r="BI42" s="1">
        <v>80.540000000000006</v>
      </c>
      <c r="BJ42" s="1">
        <v>19.440000000000001</v>
      </c>
      <c r="BK42" s="1">
        <v>4.1420000000000003</v>
      </c>
      <c r="BL42" s="22">
        <v>1</v>
      </c>
    </row>
    <row r="43" spans="1:64" x14ac:dyDescent="0.25">
      <c r="A43" s="20">
        <v>39</v>
      </c>
      <c r="B43" s="22">
        <v>53</v>
      </c>
      <c r="C43" s="1">
        <v>70</v>
      </c>
      <c r="D43" s="2">
        <v>1.55</v>
      </c>
      <c r="E43" s="1">
        <v>29.136316337148799</v>
      </c>
      <c r="F43" s="1">
        <v>23.6</v>
      </c>
      <c r="G43" s="1">
        <v>17</v>
      </c>
      <c r="H43" s="23">
        <v>0.625</v>
      </c>
      <c r="I43" s="7">
        <v>96</v>
      </c>
      <c r="J43" s="1">
        <v>91</v>
      </c>
      <c r="K43" s="1">
        <v>112</v>
      </c>
      <c r="L43" s="23">
        <v>0.8571428571428571</v>
      </c>
      <c r="M43" s="20">
        <v>42</v>
      </c>
      <c r="N43" s="20">
        <v>37</v>
      </c>
      <c r="O43" s="22">
        <v>76</v>
      </c>
      <c r="P43" s="20">
        <v>28</v>
      </c>
      <c r="Q43" s="20">
        <v>120</v>
      </c>
      <c r="R43" s="20">
        <v>80</v>
      </c>
      <c r="S43" s="20">
        <v>90</v>
      </c>
      <c r="T43" s="22">
        <v>112</v>
      </c>
      <c r="U43" s="20">
        <v>22</v>
      </c>
      <c r="V43" s="20">
        <v>130</v>
      </c>
      <c r="W43" s="20">
        <v>80</v>
      </c>
      <c r="X43" s="20">
        <v>98</v>
      </c>
      <c r="Y43" s="43">
        <v>8.8888888888888893</v>
      </c>
      <c r="Z43" s="20">
        <v>2</v>
      </c>
      <c r="AA43" s="22">
        <v>0</v>
      </c>
      <c r="AB43" s="20">
        <v>3</v>
      </c>
      <c r="AC43" s="20">
        <v>6</v>
      </c>
      <c r="AD43" s="24">
        <v>444</v>
      </c>
      <c r="AE43" s="25">
        <v>521.64663943808546</v>
      </c>
      <c r="AF43" s="26">
        <v>85.115088727164817</v>
      </c>
      <c r="AG43" s="7">
        <v>560</v>
      </c>
      <c r="AH43" s="1">
        <v>32.5</v>
      </c>
      <c r="AI43" s="1">
        <v>55.1</v>
      </c>
      <c r="AJ43" s="2">
        <v>-1.76</v>
      </c>
      <c r="AK43" s="1">
        <v>107</v>
      </c>
      <c r="AL43" s="1">
        <v>12.6</v>
      </c>
      <c r="AM43" s="1">
        <v>44.9</v>
      </c>
      <c r="AN43" s="1">
        <v>3.06</v>
      </c>
      <c r="AO43" s="1">
        <v>560</v>
      </c>
      <c r="AP43" s="1">
        <v>107</v>
      </c>
      <c r="AQ43" s="1">
        <v>82</v>
      </c>
      <c r="AR43" s="1">
        <v>116</v>
      </c>
      <c r="AS43" s="1">
        <v>21</v>
      </c>
      <c r="AT43" s="1">
        <v>32.5</v>
      </c>
      <c r="AU43" s="2">
        <v>18</v>
      </c>
      <c r="AV43" s="2">
        <v>2.81</v>
      </c>
      <c r="AW43" s="2">
        <v>3.3</v>
      </c>
      <c r="AX43" s="1">
        <v>235</v>
      </c>
      <c r="AY43" s="1">
        <v>12.6</v>
      </c>
      <c r="AZ43" s="1">
        <v>23</v>
      </c>
      <c r="BA43" s="1">
        <v>18.8</v>
      </c>
      <c r="BB43" s="1">
        <v>0.81739130434782614</v>
      </c>
      <c r="BC43" s="1">
        <v>1.1259999999999999</v>
      </c>
      <c r="BD43" s="1">
        <v>1.115</v>
      </c>
      <c r="BE43" s="12">
        <v>80</v>
      </c>
      <c r="BF43" s="1">
        <v>11</v>
      </c>
      <c r="BG43" s="1">
        <v>38</v>
      </c>
      <c r="BH43" s="1">
        <v>31</v>
      </c>
      <c r="BI43" s="1">
        <v>54.44</v>
      </c>
      <c r="BJ43" s="1">
        <v>45.36</v>
      </c>
      <c r="BK43" s="1">
        <v>1.2</v>
      </c>
      <c r="BL43" s="22">
        <v>1</v>
      </c>
    </row>
    <row r="44" spans="1:64" x14ac:dyDescent="0.25">
      <c r="A44" s="20">
        <v>40</v>
      </c>
      <c r="B44" s="22">
        <v>61</v>
      </c>
      <c r="C44" s="1">
        <v>53</v>
      </c>
      <c r="D44" s="2">
        <v>1.46</v>
      </c>
      <c r="E44" s="1">
        <v>24.86395196096829</v>
      </c>
      <c r="F44" s="1">
        <v>16.8</v>
      </c>
      <c r="G44" s="1">
        <v>20.7</v>
      </c>
      <c r="H44" s="23">
        <v>0.625</v>
      </c>
      <c r="I44" s="7">
        <v>88</v>
      </c>
      <c r="J44" s="1">
        <v>85</v>
      </c>
      <c r="K44" s="1">
        <v>62</v>
      </c>
      <c r="L44" s="23">
        <v>1.4193548387096775</v>
      </c>
      <c r="M44" s="20">
        <v>59</v>
      </c>
      <c r="N44" s="20">
        <v>41</v>
      </c>
      <c r="O44" s="22">
        <v>79</v>
      </c>
      <c r="P44" s="20">
        <v>16</v>
      </c>
      <c r="Q44" s="20">
        <v>140</v>
      </c>
      <c r="R44" s="20">
        <v>80</v>
      </c>
      <c r="S44" s="20">
        <v>71</v>
      </c>
      <c r="T44" s="22">
        <v>127</v>
      </c>
      <c r="U44" s="20">
        <v>18</v>
      </c>
      <c r="V44" s="20">
        <v>150</v>
      </c>
      <c r="W44" s="20">
        <v>120</v>
      </c>
      <c r="X44" s="20">
        <v>99</v>
      </c>
      <c r="Y44" s="43">
        <v>39.436619718309856</v>
      </c>
      <c r="Z44" s="20">
        <v>2</v>
      </c>
      <c r="AA44" s="22">
        <v>6</v>
      </c>
      <c r="AB44" s="20">
        <v>6</v>
      </c>
      <c r="AC44" s="20">
        <v>6</v>
      </c>
      <c r="AD44" s="24">
        <v>432</v>
      </c>
      <c r="AE44" s="25">
        <v>525.03705395008444</v>
      </c>
      <c r="AF44" s="26">
        <v>82.279907056059031</v>
      </c>
      <c r="AG44" s="7">
        <v>498</v>
      </c>
      <c r="AH44" s="1">
        <v>2.5</v>
      </c>
      <c r="AI44" s="1">
        <v>31.5</v>
      </c>
      <c r="AJ44" s="2">
        <v>-3.29</v>
      </c>
      <c r="AK44" s="1">
        <v>120</v>
      </c>
      <c r="AL44" s="1">
        <v>53.6</v>
      </c>
      <c r="AM44" s="1">
        <v>68.5</v>
      </c>
      <c r="AN44" s="1">
        <v>11.46</v>
      </c>
      <c r="AO44" s="1">
        <v>498</v>
      </c>
      <c r="AP44" s="1">
        <v>120</v>
      </c>
      <c r="AQ44" s="1">
        <v>101</v>
      </c>
      <c r="AR44" s="1">
        <v>127</v>
      </c>
      <c r="AS44" s="1">
        <v>3</v>
      </c>
      <c r="AT44" s="1">
        <v>2.5</v>
      </c>
      <c r="AU44" s="2">
        <v>0</v>
      </c>
      <c r="AV44" s="2">
        <v>0</v>
      </c>
      <c r="AW44" s="2">
        <v>1.9</v>
      </c>
      <c r="AX44" s="1">
        <v>25</v>
      </c>
      <c r="AY44" s="1">
        <v>53.6</v>
      </c>
      <c r="AZ44" s="1">
        <v>1.8</v>
      </c>
      <c r="BA44" s="1">
        <v>3.8</v>
      </c>
      <c r="BB44" s="1">
        <v>2.1111111111111112</v>
      </c>
      <c r="BC44" s="1">
        <v>1.3360000000000001</v>
      </c>
      <c r="BD44" s="1">
        <v>1.5429999999999999</v>
      </c>
      <c r="BE44" s="12">
        <v>4</v>
      </c>
      <c r="BF44" s="1">
        <v>2</v>
      </c>
      <c r="BG44" s="1">
        <v>1</v>
      </c>
      <c r="BH44" s="1">
        <v>1</v>
      </c>
      <c r="BI44" s="1">
        <v>59.66</v>
      </c>
      <c r="BJ44" s="1">
        <v>40.25</v>
      </c>
      <c r="BK44" s="1">
        <v>1.482</v>
      </c>
      <c r="BL44" s="22">
        <v>1</v>
      </c>
    </row>
    <row r="45" spans="1:64" x14ac:dyDescent="0.25">
      <c r="A45" s="20">
        <v>41</v>
      </c>
      <c r="B45" s="22">
        <v>66</v>
      </c>
      <c r="C45" s="1">
        <v>70</v>
      </c>
      <c r="D45" s="2">
        <v>1.65</v>
      </c>
      <c r="E45" s="1">
        <v>25.711662075298442</v>
      </c>
      <c r="F45" s="1">
        <v>26.6</v>
      </c>
      <c r="G45" s="1">
        <v>24.3</v>
      </c>
      <c r="H45" s="23">
        <v>2.375</v>
      </c>
      <c r="I45" s="7">
        <v>72</v>
      </c>
      <c r="J45" s="1">
        <v>76</v>
      </c>
      <c r="K45" s="1">
        <v>97</v>
      </c>
      <c r="L45" s="31">
        <v>0.74226804123711343</v>
      </c>
      <c r="M45" s="20">
        <v>18</v>
      </c>
      <c r="N45" s="20">
        <v>19</v>
      </c>
      <c r="O45" s="22">
        <v>63</v>
      </c>
      <c r="P45" s="20">
        <v>20</v>
      </c>
      <c r="Q45" s="20">
        <v>130</v>
      </c>
      <c r="R45" s="20">
        <v>80</v>
      </c>
      <c r="S45" s="20">
        <v>96</v>
      </c>
      <c r="T45" s="22">
        <v>100</v>
      </c>
      <c r="U45" s="20">
        <v>24</v>
      </c>
      <c r="V45" s="20">
        <v>130</v>
      </c>
      <c r="W45" s="20">
        <v>80</v>
      </c>
      <c r="X45" s="20">
        <v>98</v>
      </c>
      <c r="Y45" s="43">
        <v>2.083333333333333</v>
      </c>
      <c r="Z45" s="20">
        <v>2</v>
      </c>
      <c r="AA45" s="22">
        <v>3</v>
      </c>
      <c r="AB45" s="20">
        <v>6</v>
      </c>
      <c r="AC45" s="20">
        <v>9</v>
      </c>
      <c r="AD45" s="24">
        <v>480</v>
      </c>
      <c r="AE45" s="25">
        <v>512.26620569329657</v>
      </c>
      <c r="AF45" s="26">
        <v>93.701281612042365</v>
      </c>
      <c r="AG45" s="7">
        <v>627</v>
      </c>
      <c r="AH45" s="1">
        <v>11.8</v>
      </c>
      <c r="AI45" s="1">
        <v>49.9</v>
      </c>
      <c r="AJ45" s="2">
        <v>-1.99</v>
      </c>
      <c r="AK45" s="1">
        <v>96</v>
      </c>
      <c r="AL45" s="1">
        <v>27</v>
      </c>
      <c r="AM45" s="1">
        <v>50.1</v>
      </c>
      <c r="AN45" s="1">
        <v>4.54</v>
      </c>
      <c r="AO45" s="1">
        <v>627</v>
      </c>
      <c r="AP45" s="1">
        <v>96</v>
      </c>
      <c r="AQ45" s="1">
        <v>67</v>
      </c>
      <c r="AR45" s="1">
        <v>102</v>
      </c>
      <c r="AS45" s="1">
        <v>8.4</v>
      </c>
      <c r="AT45" s="1">
        <v>11.8</v>
      </c>
      <c r="AU45" s="2">
        <v>1</v>
      </c>
      <c r="AV45" s="2">
        <v>0.17</v>
      </c>
      <c r="AW45" s="2">
        <v>2.73</v>
      </c>
      <c r="AX45" s="1">
        <v>59</v>
      </c>
      <c r="AY45" s="1">
        <v>27</v>
      </c>
      <c r="AZ45" s="1">
        <v>8.4</v>
      </c>
      <c r="BA45" s="1">
        <v>8.4</v>
      </c>
      <c r="BB45" s="1">
        <v>1</v>
      </c>
      <c r="BC45" s="1">
        <v>1.33</v>
      </c>
      <c r="BD45" s="1">
        <v>1.673</v>
      </c>
      <c r="BE45" s="12">
        <v>7</v>
      </c>
      <c r="BF45" s="1">
        <v>1</v>
      </c>
      <c r="BG45" s="1">
        <v>4</v>
      </c>
      <c r="BH45" s="1">
        <v>1</v>
      </c>
      <c r="BI45" s="1">
        <v>75.25</v>
      </c>
      <c r="BJ45" s="1">
        <v>23.77</v>
      </c>
      <c r="BK45" s="1">
        <v>3.1659999999999999</v>
      </c>
      <c r="BL45" s="22">
        <v>1</v>
      </c>
    </row>
    <row r="46" spans="1:64" x14ac:dyDescent="0.25">
      <c r="A46" s="20">
        <v>42</v>
      </c>
      <c r="B46" s="22">
        <v>64</v>
      </c>
      <c r="C46" s="1">
        <v>88</v>
      </c>
      <c r="D46" s="2">
        <v>1.56</v>
      </c>
      <c r="E46" s="1">
        <v>36.160420775805385</v>
      </c>
      <c r="F46" s="1">
        <v>19.600000000000001</v>
      </c>
      <c r="G46" s="1">
        <v>20.2</v>
      </c>
      <c r="H46" s="23">
        <v>2.25</v>
      </c>
      <c r="I46" s="7">
        <v>36</v>
      </c>
      <c r="J46" s="1">
        <v>36</v>
      </c>
      <c r="K46" s="1">
        <v>13</v>
      </c>
      <c r="L46" s="54">
        <v>2.7692000000000001</v>
      </c>
      <c r="M46" s="20">
        <v>23</v>
      </c>
      <c r="N46" s="20">
        <v>29</v>
      </c>
      <c r="O46" s="22">
        <v>65</v>
      </c>
      <c r="P46" s="20">
        <v>40</v>
      </c>
      <c r="Q46" s="20">
        <v>120</v>
      </c>
      <c r="R46" s="20">
        <v>90</v>
      </c>
      <c r="S46" s="20">
        <v>97</v>
      </c>
      <c r="T46" s="22">
        <v>107</v>
      </c>
      <c r="U46" s="20">
        <v>44</v>
      </c>
      <c r="V46" s="20">
        <v>130</v>
      </c>
      <c r="W46" s="20">
        <v>90</v>
      </c>
      <c r="X46" s="20">
        <v>97</v>
      </c>
      <c r="Y46" s="43">
        <v>0</v>
      </c>
      <c r="Z46" s="20">
        <v>2</v>
      </c>
      <c r="AA46" s="22"/>
      <c r="AB46" s="20"/>
      <c r="AC46" s="20"/>
      <c r="AD46" s="24">
        <v>268</v>
      </c>
      <c r="AE46" s="25">
        <v>464.63075082182775</v>
      </c>
      <c r="AF46" s="26">
        <v>57.680211549917438</v>
      </c>
      <c r="AG46" s="7">
        <v>564</v>
      </c>
      <c r="AH46" s="1">
        <v>65.599999999999994</v>
      </c>
      <c r="AI46" s="1">
        <v>55.4</v>
      </c>
      <c r="AJ46" s="2">
        <v>-0.8</v>
      </c>
      <c r="AK46" s="1">
        <v>106</v>
      </c>
      <c r="AL46" s="1">
        <v>15.2</v>
      </c>
      <c r="AM46" s="1">
        <v>44.6</v>
      </c>
      <c r="AN46" s="1">
        <v>3.43</v>
      </c>
      <c r="AO46" s="1">
        <v>564</v>
      </c>
      <c r="AP46" s="1">
        <v>106</v>
      </c>
      <c r="AQ46" s="1">
        <v>75</v>
      </c>
      <c r="AR46" s="1">
        <v>129</v>
      </c>
      <c r="AS46" s="1">
        <v>42.1</v>
      </c>
      <c r="AT46" s="1">
        <v>65.599999999999994</v>
      </c>
      <c r="AU46" s="2">
        <v>120</v>
      </c>
      <c r="AV46" s="2">
        <v>19.7</v>
      </c>
      <c r="AW46" s="2">
        <v>3.79</v>
      </c>
      <c r="AX46" s="1">
        <v>207</v>
      </c>
      <c r="AY46" s="1">
        <v>15.2</v>
      </c>
      <c r="AZ46" s="1">
        <v>46.4</v>
      </c>
      <c r="BA46" s="1">
        <v>37.299999999999997</v>
      </c>
      <c r="BB46" s="1">
        <v>0.80387931034482751</v>
      </c>
      <c r="BC46" s="1">
        <v>0.67800000000000005</v>
      </c>
      <c r="BD46" s="1">
        <v>0.44900000000000001</v>
      </c>
      <c r="BE46" s="12">
        <v>1039</v>
      </c>
      <c r="BF46" s="1">
        <v>51</v>
      </c>
      <c r="BG46" s="1">
        <v>424</v>
      </c>
      <c r="BH46" s="1">
        <v>560</v>
      </c>
      <c r="BI46" s="1">
        <v>42.94</v>
      </c>
      <c r="BJ46" s="1">
        <v>56.66</v>
      </c>
      <c r="BK46" s="1">
        <v>0.75800000000000001</v>
      </c>
      <c r="BL46" s="22">
        <v>1</v>
      </c>
    </row>
    <row r="47" spans="1:64" x14ac:dyDescent="0.25">
      <c r="A47" s="20">
        <v>43</v>
      </c>
      <c r="B47" s="22">
        <v>58</v>
      </c>
      <c r="C47" s="1">
        <v>89</v>
      </c>
      <c r="D47" s="2">
        <v>1.65</v>
      </c>
      <c r="E47" s="1">
        <v>32.690541781450875</v>
      </c>
      <c r="F47" s="1">
        <v>21.8</v>
      </c>
      <c r="G47" s="1">
        <v>19.899999999999999</v>
      </c>
      <c r="H47" s="23">
        <v>0.875</v>
      </c>
      <c r="I47" s="7">
        <v>83</v>
      </c>
      <c r="J47" s="1">
        <v>79</v>
      </c>
      <c r="K47" s="1">
        <v>109</v>
      </c>
      <c r="L47" s="23">
        <v>0.76146788990825687</v>
      </c>
      <c r="M47" s="20">
        <v>17</v>
      </c>
      <c r="N47" s="20">
        <v>27</v>
      </c>
      <c r="O47" s="22">
        <v>99</v>
      </c>
      <c r="P47" s="20">
        <v>22</v>
      </c>
      <c r="Q47" s="20">
        <v>140</v>
      </c>
      <c r="R47" s="20">
        <v>80</v>
      </c>
      <c r="S47" s="20">
        <v>95</v>
      </c>
      <c r="T47" s="22">
        <v>117</v>
      </c>
      <c r="U47" s="20">
        <v>24</v>
      </c>
      <c r="V47" s="20">
        <v>150</v>
      </c>
      <c r="W47" s="20">
        <v>100</v>
      </c>
      <c r="X47" s="20">
        <v>97</v>
      </c>
      <c r="Y47" s="43">
        <v>2.1052631578947367</v>
      </c>
      <c r="Z47" s="20">
        <v>2</v>
      </c>
      <c r="AA47" s="22">
        <v>3</v>
      </c>
      <c r="AB47" s="20">
        <v>3</v>
      </c>
      <c r="AC47" s="20">
        <v>4</v>
      </c>
      <c r="AD47" s="24">
        <v>438</v>
      </c>
      <c r="AE47" s="25">
        <v>492.93506152433429</v>
      </c>
      <c r="AF47" s="26">
        <v>88.855517529133536</v>
      </c>
      <c r="AG47" s="7">
        <v>481</v>
      </c>
      <c r="AH47" s="1">
        <v>46.1</v>
      </c>
      <c r="AI47" s="1">
        <v>46.1</v>
      </c>
      <c r="AJ47" s="2">
        <v>-2.0699999999999998</v>
      </c>
      <c r="AK47" s="1">
        <v>125</v>
      </c>
      <c r="AL47" s="1">
        <v>14.2</v>
      </c>
      <c r="AM47" s="1">
        <v>59.1</v>
      </c>
      <c r="AN47" s="1">
        <v>5.03</v>
      </c>
      <c r="AO47" s="1">
        <v>481</v>
      </c>
      <c r="AP47" s="1">
        <v>125</v>
      </c>
      <c r="AQ47" s="1">
        <v>100</v>
      </c>
      <c r="AR47" s="1">
        <v>169</v>
      </c>
      <c r="AS47" s="1">
        <v>40.5</v>
      </c>
      <c r="AT47" s="1">
        <v>46.1</v>
      </c>
      <c r="AU47" s="2">
        <v>73</v>
      </c>
      <c r="AV47" s="2">
        <v>11.53</v>
      </c>
      <c r="AW47" s="2">
        <v>2.21</v>
      </c>
      <c r="AX47" s="1">
        <v>285</v>
      </c>
      <c r="AY47" s="1">
        <v>14.2</v>
      </c>
      <c r="AZ47" s="1">
        <v>32.6</v>
      </c>
      <c r="BA47" s="1">
        <v>47.1</v>
      </c>
      <c r="BB47" s="1">
        <v>1.4447852760736195</v>
      </c>
      <c r="BC47" s="1">
        <v>0.39800000000000002</v>
      </c>
      <c r="BD47" s="1">
        <v>0.24299999999999999</v>
      </c>
      <c r="BE47" s="12">
        <v>397</v>
      </c>
      <c r="BF47" s="1">
        <v>4</v>
      </c>
      <c r="BG47" s="1">
        <v>104</v>
      </c>
      <c r="BH47" s="1">
        <v>289</v>
      </c>
      <c r="BI47" s="1">
        <v>26.39</v>
      </c>
      <c r="BJ47" s="1">
        <v>73.59</v>
      </c>
      <c r="BK47" s="1">
        <v>0.35899999999999999</v>
      </c>
      <c r="BL47" s="22">
        <v>1</v>
      </c>
    </row>
    <row r="48" spans="1:64" x14ac:dyDescent="0.25">
      <c r="A48" s="20">
        <v>44</v>
      </c>
      <c r="B48" s="22">
        <v>39</v>
      </c>
      <c r="C48" s="1">
        <v>79.5</v>
      </c>
      <c r="D48" s="2">
        <v>1.53</v>
      </c>
      <c r="E48" s="1">
        <v>33.961296937075481</v>
      </c>
      <c r="F48" s="1">
        <v>26.6</v>
      </c>
      <c r="G48" s="1">
        <v>20.399999999999999</v>
      </c>
      <c r="H48" s="23">
        <v>1.125</v>
      </c>
      <c r="I48" s="7">
        <v>61</v>
      </c>
      <c r="J48" s="1">
        <v>64</v>
      </c>
      <c r="K48" s="1">
        <v>49</v>
      </c>
      <c r="L48" s="23">
        <v>1.2448979591836735</v>
      </c>
      <c r="M48" s="20">
        <v>133</v>
      </c>
      <c r="N48" s="20">
        <v>70</v>
      </c>
      <c r="O48" s="22">
        <v>101</v>
      </c>
      <c r="P48" s="20">
        <v>27</v>
      </c>
      <c r="Q48" s="20">
        <v>120</v>
      </c>
      <c r="R48" s="20">
        <v>80</v>
      </c>
      <c r="S48" s="20">
        <v>96</v>
      </c>
      <c r="T48" s="22">
        <v>118</v>
      </c>
      <c r="U48" s="20">
        <v>33</v>
      </c>
      <c r="V48" s="20">
        <v>150</v>
      </c>
      <c r="W48" s="20">
        <v>80</v>
      </c>
      <c r="X48" s="20">
        <v>93</v>
      </c>
      <c r="Y48" s="43">
        <v>-3.125</v>
      </c>
      <c r="Z48" s="20">
        <v>2</v>
      </c>
      <c r="AA48" s="22">
        <v>5</v>
      </c>
      <c r="AB48" s="20">
        <v>7</v>
      </c>
      <c r="AC48" s="20">
        <v>7</v>
      </c>
      <c r="AD48" s="24">
        <v>345</v>
      </c>
      <c r="AE48" s="25">
        <v>539.25298391644253</v>
      </c>
      <c r="AF48" s="26">
        <v>63.977392854530393</v>
      </c>
      <c r="AG48" s="7">
        <v>499</v>
      </c>
      <c r="AH48" s="1">
        <v>3.8</v>
      </c>
      <c r="AI48" s="1">
        <v>28.1</v>
      </c>
      <c r="AJ48" s="2">
        <v>-3.27</v>
      </c>
      <c r="AK48" s="1">
        <v>120</v>
      </c>
      <c r="AL48" s="1">
        <v>39.5</v>
      </c>
      <c r="AM48" s="1">
        <v>71.900000000000006</v>
      </c>
      <c r="AN48" s="1">
        <v>9.0399999999999991</v>
      </c>
      <c r="AO48" s="1">
        <v>499</v>
      </c>
      <c r="AP48" s="1">
        <v>120</v>
      </c>
      <c r="AQ48" s="1">
        <v>108</v>
      </c>
      <c r="AR48" s="1">
        <v>126</v>
      </c>
      <c r="AS48" s="1">
        <v>5.2</v>
      </c>
      <c r="AT48" s="1">
        <v>3.8</v>
      </c>
      <c r="AU48" s="2">
        <v>0</v>
      </c>
      <c r="AV48" s="2">
        <v>0</v>
      </c>
      <c r="AW48" s="2">
        <v>2.11</v>
      </c>
      <c r="AX48" s="1">
        <v>38</v>
      </c>
      <c r="AY48" s="1">
        <v>39.5</v>
      </c>
      <c r="AZ48" s="1">
        <v>2.7</v>
      </c>
      <c r="BA48" s="1">
        <v>6.8</v>
      </c>
      <c r="BB48" s="1">
        <v>2.5185185185185182</v>
      </c>
      <c r="BC48" s="1">
        <v>1.367</v>
      </c>
      <c r="BD48" s="1">
        <v>1.367</v>
      </c>
      <c r="BE48" s="12">
        <v>12</v>
      </c>
      <c r="BF48" s="1">
        <v>2</v>
      </c>
      <c r="BG48" s="1">
        <v>9</v>
      </c>
      <c r="BH48" s="1">
        <v>1</v>
      </c>
      <c r="BI48" s="1">
        <v>89.46</v>
      </c>
      <c r="BJ48" s="1">
        <v>10.52</v>
      </c>
      <c r="BK48" s="1">
        <v>8.5009999999999994</v>
      </c>
      <c r="BL48" s="22">
        <v>1</v>
      </c>
    </row>
    <row r="49" spans="1:64" x14ac:dyDescent="0.25">
      <c r="A49" s="20">
        <v>45</v>
      </c>
      <c r="B49" s="22">
        <v>57</v>
      </c>
      <c r="C49" s="1">
        <v>71</v>
      </c>
      <c r="D49" s="2">
        <v>1.6</v>
      </c>
      <c r="E49" s="1">
        <v>27.734374999999993</v>
      </c>
      <c r="F49" s="1">
        <v>25.4</v>
      </c>
      <c r="G49" s="1">
        <v>50.4</v>
      </c>
      <c r="H49" s="23">
        <v>0</v>
      </c>
      <c r="I49" s="7">
        <v>53</v>
      </c>
      <c r="J49" s="1">
        <v>49</v>
      </c>
      <c r="K49" s="1">
        <v>76</v>
      </c>
      <c r="L49" s="23">
        <v>0.69736842105263153</v>
      </c>
      <c r="M49" s="20">
        <v>118</v>
      </c>
      <c r="N49" s="20">
        <v>73</v>
      </c>
      <c r="O49" s="22">
        <v>105</v>
      </c>
      <c r="P49" s="20">
        <v>21</v>
      </c>
      <c r="Q49" s="20">
        <v>140</v>
      </c>
      <c r="R49" s="20">
        <v>80</v>
      </c>
      <c r="S49" s="20">
        <v>89</v>
      </c>
      <c r="T49" s="22">
        <v>135</v>
      </c>
      <c r="U49" s="20">
        <v>28</v>
      </c>
      <c r="V49" s="20">
        <v>160</v>
      </c>
      <c r="W49" s="20">
        <v>80</v>
      </c>
      <c r="X49" s="20">
        <v>96</v>
      </c>
      <c r="Y49" s="43">
        <v>7.8651685393258424</v>
      </c>
      <c r="Z49" s="20">
        <v>2</v>
      </c>
      <c r="AA49" s="22">
        <v>4</v>
      </c>
      <c r="AB49" s="20">
        <v>4</v>
      </c>
      <c r="AC49" s="20">
        <v>4</v>
      </c>
      <c r="AD49" s="24">
        <v>510</v>
      </c>
      <c r="AE49" s="25">
        <v>519.21409375000007</v>
      </c>
      <c r="AF49" s="26">
        <v>98.225376802957783</v>
      </c>
      <c r="AG49" s="7">
        <v>445</v>
      </c>
      <c r="AH49" s="1">
        <v>5.9</v>
      </c>
      <c r="AI49" s="1">
        <v>56.5</v>
      </c>
      <c r="AJ49" s="2">
        <v>-3.58</v>
      </c>
      <c r="AK49" s="1">
        <v>135</v>
      </c>
      <c r="AL49" s="1">
        <v>36.1</v>
      </c>
      <c r="AM49" s="1">
        <v>43.5</v>
      </c>
      <c r="AN49" s="1">
        <v>9.9499999999999993</v>
      </c>
      <c r="AO49" s="1">
        <v>445</v>
      </c>
      <c r="AP49" s="1">
        <v>153</v>
      </c>
      <c r="AQ49" s="1">
        <v>123</v>
      </c>
      <c r="AR49" s="1">
        <v>139</v>
      </c>
      <c r="AS49" s="1">
        <v>3.7</v>
      </c>
      <c r="AT49" s="1">
        <v>5.9</v>
      </c>
      <c r="AU49" s="2">
        <v>1</v>
      </c>
      <c r="AV49" s="2">
        <v>0.12</v>
      </c>
      <c r="AW49" s="2">
        <v>1.42</v>
      </c>
      <c r="AX49" s="1">
        <v>59</v>
      </c>
      <c r="AY49" s="1">
        <v>36.1</v>
      </c>
      <c r="AZ49" s="1">
        <v>4.2</v>
      </c>
      <c r="BA49" s="1">
        <v>3.2</v>
      </c>
      <c r="BB49" s="1">
        <v>0.76190476190476186</v>
      </c>
      <c r="BC49" s="1">
        <v>1.5269999999999999</v>
      </c>
      <c r="BD49" s="1">
        <v>1.7889999999999999</v>
      </c>
      <c r="BE49" s="12">
        <v>4</v>
      </c>
      <c r="BF49" s="1">
        <v>0</v>
      </c>
      <c r="BG49" s="1">
        <v>2</v>
      </c>
      <c r="BH49" s="1">
        <v>2</v>
      </c>
      <c r="BI49" s="1">
        <v>43.63</v>
      </c>
      <c r="BJ49" s="1">
        <v>55.48</v>
      </c>
      <c r="BK49" s="1">
        <v>0.78600000000000003</v>
      </c>
      <c r="BL49" s="22">
        <v>1</v>
      </c>
    </row>
    <row r="50" spans="1:64" x14ac:dyDescent="0.25">
      <c r="A50" s="20">
        <v>46</v>
      </c>
      <c r="B50" s="22">
        <v>48</v>
      </c>
      <c r="C50" s="1">
        <v>74</v>
      </c>
      <c r="D50" s="2">
        <v>1.59</v>
      </c>
      <c r="E50" s="1">
        <v>29.270994027135</v>
      </c>
      <c r="F50" s="1">
        <v>17.8</v>
      </c>
      <c r="G50" s="1">
        <v>8.4</v>
      </c>
      <c r="H50" s="23">
        <v>1.5</v>
      </c>
      <c r="I50" s="7">
        <v>67</v>
      </c>
      <c r="J50" s="1">
        <v>67</v>
      </c>
      <c r="K50" s="1">
        <v>49</v>
      </c>
      <c r="L50" s="23">
        <v>1.3673469387755102</v>
      </c>
      <c r="M50" s="20">
        <v>43</v>
      </c>
      <c r="N50" s="20">
        <v>21</v>
      </c>
      <c r="O50" s="22">
        <v>105</v>
      </c>
      <c r="P50" s="20">
        <v>30</v>
      </c>
      <c r="Q50" s="20">
        <v>140</v>
      </c>
      <c r="R50" s="20">
        <v>60</v>
      </c>
      <c r="S50" s="20">
        <v>98</v>
      </c>
      <c r="T50" s="22">
        <v>112</v>
      </c>
      <c r="U50" s="20">
        <v>26</v>
      </c>
      <c r="V50" s="20">
        <v>120</v>
      </c>
      <c r="W50" s="20">
        <v>80</v>
      </c>
      <c r="X50" s="20">
        <v>95</v>
      </c>
      <c r="Y50" s="43">
        <v>-3.0612244897959182</v>
      </c>
      <c r="Z50" s="20">
        <v>2</v>
      </c>
      <c r="AA50" s="22">
        <v>8</v>
      </c>
      <c r="AB50" s="20">
        <v>6</v>
      </c>
      <c r="AC50" s="20">
        <v>5</v>
      </c>
      <c r="AD50" s="24">
        <v>330</v>
      </c>
      <c r="AE50" s="25">
        <v>534.11825908785272</v>
      </c>
      <c r="AF50" s="26">
        <v>61.78407017269204</v>
      </c>
      <c r="AG50" s="7">
        <v>534</v>
      </c>
      <c r="AH50" s="1">
        <v>12.4</v>
      </c>
      <c r="AI50" s="1">
        <v>32.700000000000003</v>
      </c>
      <c r="AJ50" s="2">
        <v>-2.72</v>
      </c>
      <c r="AK50" s="1">
        <v>112</v>
      </c>
      <c r="AL50" s="1">
        <v>25.1</v>
      </c>
      <c r="AM50" s="1">
        <v>67.3</v>
      </c>
      <c r="AN50" s="1">
        <v>5.79</v>
      </c>
      <c r="AO50" s="1">
        <v>534</v>
      </c>
      <c r="AP50" s="1">
        <v>112</v>
      </c>
      <c r="AQ50" s="1">
        <v>85</v>
      </c>
      <c r="AR50" s="1">
        <v>124</v>
      </c>
      <c r="AS50" s="1">
        <v>14.2</v>
      </c>
      <c r="AT50" s="1">
        <v>12.4</v>
      </c>
      <c r="AU50" s="2">
        <v>5</v>
      </c>
      <c r="AV50" s="2">
        <v>0.74</v>
      </c>
      <c r="AW50" s="2">
        <v>3.72</v>
      </c>
      <c r="AX50" s="1">
        <v>100</v>
      </c>
      <c r="AY50" s="1">
        <v>25.1</v>
      </c>
      <c r="AZ50" s="1">
        <v>8.8000000000000007</v>
      </c>
      <c r="BA50" s="1">
        <v>18</v>
      </c>
      <c r="BB50" s="1">
        <v>2.0454545454545454</v>
      </c>
      <c r="BC50" s="1">
        <v>1.2849999999999999</v>
      </c>
      <c r="BD50" s="1">
        <v>1.4790000000000001</v>
      </c>
      <c r="BE50" s="12">
        <v>120</v>
      </c>
      <c r="BF50" s="1">
        <v>17</v>
      </c>
      <c r="BG50" s="1">
        <v>88</v>
      </c>
      <c r="BH50" s="1">
        <v>15</v>
      </c>
      <c r="BI50" s="1">
        <v>85.17</v>
      </c>
      <c r="BJ50" s="1">
        <v>14.78</v>
      </c>
      <c r="BK50" s="1">
        <v>5.7640000000000002</v>
      </c>
      <c r="BL50" s="22">
        <v>1</v>
      </c>
    </row>
    <row r="51" spans="1:64" x14ac:dyDescent="0.25">
      <c r="A51" s="20">
        <v>47</v>
      </c>
      <c r="B51" s="22">
        <v>37</v>
      </c>
      <c r="C51" s="1">
        <v>47</v>
      </c>
      <c r="D51" s="2">
        <v>1.55</v>
      </c>
      <c r="E51" s="1">
        <v>19.562955254942764</v>
      </c>
      <c r="F51" s="1">
        <v>13.2</v>
      </c>
      <c r="G51" s="1">
        <v>10.1</v>
      </c>
      <c r="H51" s="23">
        <v>1.375</v>
      </c>
      <c r="I51" s="7">
        <v>72</v>
      </c>
      <c r="J51" s="1">
        <v>78</v>
      </c>
      <c r="K51" s="1">
        <v>85</v>
      </c>
      <c r="L51" s="23">
        <v>0.84705882352941175</v>
      </c>
      <c r="M51" s="20">
        <v>67</v>
      </c>
      <c r="N51" s="20">
        <v>42</v>
      </c>
      <c r="O51" s="22">
        <v>100</v>
      </c>
      <c r="P51" s="20">
        <v>21</v>
      </c>
      <c r="Q51" s="20">
        <v>110</v>
      </c>
      <c r="R51" s="20">
        <v>80</v>
      </c>
      <c r="S51" s="20">
        <v>99</v>
      </c>
      <c r="T51" s="22">
        <v>141</v>
      </c>
      <c r="U51" s="20">
        <v>34</v>
      </c>
      <c r="V51" s="20">
        <v>130</v>
      </c>
      <c r="W51" s="20">
        <v>90</v>
      </c>
      <c r="X51" s="20">
        <v>98</v>
      </c>
      <c r="Y51" s="43">
        <v>-1.0101010101010102</v>
      </c>
      <c r="Z51" s="20">
        <v>2</v>
      </c>
      <c r="AA51" s="22">
        <v>3</v>
      </c>
      <c r="AB51" s="20">
        <v>6</v>
      </c>
      <c r="AC51" s="20">
        <v>7</v>
      </c>
      <c r="AD51" s="24">
        <v>391</v>
      </c>
      <c r="AE51" s="25">
        <v>616.34890790842871</v>
      </c>
      <c r="AF51" s="26">
        <v>63.438094070264995</v>
      </c>
      <c r="AG51" s="7">
        <v>462</v>
      </c>
      <c r="AH51" s="1">
        <v>3.9</v>
      </c>
      <c r="AI51" s="1">
        <v>26.5</v>
      </c>
      <c r="AJ51" s="2">
        <v>-3.59</v>
      </c>
      <c r="AK51" s="1">
        <v>130</v>
      </c>
      <c r="AL51" s="1">
        <v>36.6</v>
      </c>
      <c r="AM51" s="1">
        <v>73.5</v>
      </c>
      <c r="AN51" s="1">
        <v>9.6</v>
      </c>
      <c r="AO51" s="1">
        <v>462</v>
      </c>
      <c r="AP51" s="1">
        <v>130</v>
      </c>
      <c r="AQ51" s="1">
        <v>99</v>
      </c>
      <c r="AR51" s="1">
        <v>144</v>
      </c>
      <c r="AS51" s="1">
        <v>5.8</v>
      </c>
      <c r="AT51" s="1">
        <v>3.9</v>
      </c>
      <c r="AU51" s="2">
        <v>0</v>
      </c>
      <c r="AV51" s="2">
        <v>0</v>
      </c>
      <c r="AW51" s="2">
        <v>1.63</v>
      </c>
      <c r="AX51" s="1">
        <v>45</v>
      </c>
      <c r="AY51" s="1">
        <v>36.6</v>
      </c>
      <c r="AZ51" s="1">
        <v>2.8</v>
      </c>
      <c r="BA51" s="1">
        <v>7.7</v>
      </c>
      <c r="BB51" s="1">
        <v>2.7500000000000004</v>
      </c>
      <c r="BC51" s="1">
        <v>1.331</v>
      </c>
      <c r="BD51" s="1">
        <v>1.55</v>
      </c>
      <c r="BE51" s="12">
        <v>11</v>
      </c>
      <c r="BF51" s="1">
        <v>3</v>
      </c>
      <c r="BG51" s="1">
        <v>6</v>
      </c>
      <c r="BH51" s="1">
        <v>1</v>
      </c>
      <c r="BI51" s="1">
        <v>82.21</v>
      </c>
      <c r="BJ51" s="1">
        <v>17.558</v>
      </c>
      <c r="BK51" s="1">
        <v>4.6749999999999998</v>
      </c>
      <c r="BL51" s="22">
        <v>1</v>
      </c>
    </row>
    <row r="52" spans="1:64" x14ac:dyDescent="0.25">
      <c r="A52" s="20">
        <v>48</v>
      </c>
      <c r="B52" s="22">
        <v>53</v>
      </c>
      <c r="C52" s="1">
        <v>90</v>
      </c>
      <c r="D52" s="2">
        <v>1.72</v>
      </c>
      <c r="E52" s="1">
        <v>30.421849648458629</v>
      </c>
      <c r="F52" s="1">
        <v>31.8</v>
      </c>
      <c r="G52" s="1">
        <v>30.3</v>
      </c>
      <c r="H52" s="23">
        <v>0</v>
      </c>
      <c r="I52" s="7">
        <v>97</v>
      </c>
      <c r="J52" s="1">
        <v>91</v>
      </c>
      <c r="K52" s="1">
        <v>108</v>
      </c>
      <c r="L52" s="23">
        <v>0.89814814814814814</v>
      </c>
      <c r="M52" s="20">
        <v>80</v>
      </c>
      <c r="N52" s="20">
        <v>88</v>
      </c>
      <c r="O52" s="22">
        <v>87</v>
      </c>
      <c r="P52" s="20">
        <v>20</v>
      </c>
      <c r="Q52" s="20">
        <v>140</v>
      </c>
      <c r="R52" s="20">
        <v>80</v>
      </c>
      <c r="S52" s="20">
        <v>95</v>
      </c>
      <c r="T52" s="22">
        <v>79</v>
      </c>
      <c r="U52" s="20">
        <v>21</v>
      </c>
      <c r="V52" s="20">
        <v>130</v>
      </c>
      <c r="W52" s="20">
        <v>70</v>
      </c>
      <c r="X52" s="20">
        <v>97</v>
      </c>
      <c r="Y52" s="43">
        <v>2.1052631578947367</v>
      </c>
      <c r="Z52" s="20">
        <v>2</v>
      </c>
      <c r="AA52" s="22">
        <v>0</v>
      </c>
      <c r="AB52" s="20">
        <v>0</v>
      </c>
      <c r="AC52" s="20">
        <v>0</v>
      </c>
      <c r="AD52" s="24">
        <v>440</v>
      </c>
      <c r="AE52" s="25">
        <v>515.38609221200659</v>
      </c>
      <c r="AF52" s="26">
        <v>85.372889693539463</v>
      </c>
      <c r="AG52" s="7">
        <v>570</v>
      </c>
      <c r="AH52" s="1">
        <v>4.8</v>
      </c>
      <c r="AI52" s="1">
        <v>25.7</v>
      </c>
      <c r="AJ52" s="2">
        <v>-2.76</v>
      </c>
      <c r="AK52" s="1">
        <v>105</v>
      </c>
      <c r="AL52" s="1">
        <v>38.299999999999997</v>
      </c>
      <c r="AM52" s="1">
        <v>74.3</v>
      </c>
      <c r="AN52" s="1">
        <v>7.38</v>
      </c>
      <c r="AO52" s="1">
        <v>570</v>
      </c>
      <c r="AP52" s="1">
        <v>105</v>
      </c>
      <c r="AQ52" s="1">
        <v>91</v>
      </c>
      <c r="AR52" s="1">
        <v>112</v>
      </c>
      <c r="AS52" s="1">
        <v>7.4</v>
      </c>
      <c r="AT52" s="1">
        <v>4.8</v>
      </c>
      <c r="AU52" s="2">
        <v>0</v>
      </c>
      <c r="AV52" s="2">
        <v>0</v>
      </c>
      <c r="AW52" s="2">
        <v>2.3199999999999998</v>
      </c>
      <c r="AX52" s="1">
        <v>42</v>
      </c>
      <c r="AY52" s="1">
        <v>38.299999999999997</v>
      </c>
      <c r="AZ52" s="1">
        <v>3.4</v>
      </c>
      <c r="BA52" s="1">
        <v>9.9</v>
      </c>
      <c r="BB52" s="1">
        <v>2.9117647058823533</v>
      </c>
      <c r="BC52" s="1">
        <v>1.2769999999999999</v>
      </c>
      <c r="BD52" s="1">
        <v>1.4870000000000001</v>
      </c>
      <c r="BE52" s="12">
        <v>43</v>
      </c>
      <c r="BF52" s="1">
        <v>7</v>
      </c>
      <c r="BG52" s="1">
        <v>23</v>
      </c>
      <c r="BH52" s="1">
        <v>13</v>
      </c>
      <c r="BI52" s="1">
        <v>64.31</v>
      </c>
      <c r="BJ52" s="1">
        <v>35.56</v>
      </c>
      <c r="BK52" s="1">
        <v>1.8080000000000001</v>
      </c>
      <c r="BL52" s="22">
        <v>1</v>
      </c>
    </row>
    <row r="53" spans="1:64" x14ac:dyDescent="0.25">
      <c r="A53" s="20">
        <v>49</v>
      </c>
      <c r="B53" s="22">
        <v>51</v>
      </c>
      <c r="C53" s="1">
        <v>58.5</v>
      </c>
      <c r="D53" s="2">
        <v>1.55</v>
      </c>
      <c r="E53" s="1">
        <v>24.349635796045781</v>
      </c>
      <c r="F53" s="1">
        <v>24.2</v>
      </c>
      <c r="G53" s="1">
        <v>22.4</v>
      </c>
      <c r="H53" s="23">
        <v>1.125</v>
      </c>
      <c r="I53" s="7">
        <v>112</v>
      </c>
      <c r="J53" s="1">
        <v>104</v>
      </c>
      <c r="K53" s="1">
        <v>107</v>
      </c>
      <c r="L53" s="23">
        <v>1.0467289719626167</v>
      </c>
      <c r="M53" s="20">
        <v>58</v>
      </c>
      <c r="N53" s="20">
        <v>41</v>
      </c>
      <c r="O53" s="22">
        <v>98</v>
      </c>
      <c r="P53" s="20">
        <v>22</v>
      </c>
      <c r="Q53" s="20">
        <v>120</v>
      </c>
      <c r="R53" s="20">
        <v>70</v>
      </c>
      <c r="S53" s="20"/>
      <c r="T53" s="22">
        <v>113</v>
      </c>
      <c r="U53" s="20">
        <v>26</v>
      </c>
      <c r="V53" s="20">
        <v>130</v>
      </c>
      <c r="W53" s="20">
        <v>80</v>
      </c>
      <c r="X53" s="20"/>
      <c r="Y53" s="43"/>
      <c r="Z53" s="20"/>
      <c r="AA53" s="22">
        <v>5</v>
      </c>
      <c r="AB53" s="20">
        <v>7</v>
      </c>
      <c r="AC53" s="20">
        <v>1</v>
      </c>
      <c r="AD53" s="24">
        <v>398</v>
      </c>
      <c r="AE53" s="25">
        <v>550.00177367325705</v>
      </c>
      <c r="AF53" s="26">
        <v>72.36</v>
      </c>
      <c r="AG53" s="7">
        <v>703</v>
      </c>
      <c r="AH53" s="1">
        <v>24.6</v>
      </c>
      <c r="AI53" s="1">
        <v>48.7</v>
      </c>
      <c r="AJ53" s="2">
        <v>-1.27</v>
      </c>
      <c r="AK53" s="1">
        <v>85</v>
      </c>
      <c r="AL53" s="1">
        <v>13.3</v>
      </c>
      <c r="AM53" s="1">
        <v>51.3</v>
      </c>
      <c r="AN53" s="1">
        <v>1.68</v>
      </c>
      <c r="AO53" s="1">
        <v>703</v>
      </c>
      <c r="AP53" s="1">
        <v>85</v>
      </c>
      <c r="AQ53" s="1">
        <v>65</v>
      </c>
      <c r="AR53" s="1">
        <v>92</v>
      </c>
      <c r="AS53" s="1">
        <v>18</v>
      </c>
      <c r="AT53" s="1">
        <v>24.6</v>
      </c>
      <c r="AU53" s="2">
        <v>8</v>
      </c>
      <c r="AV53" s="2">
        <v>1.57</v>
      </c>
      <c r="AW53" s="2">
        <v>3.03</v>
      </c>
      <c r="AX53" s="1">
        <v>216</v>
      </c>
      <c r="AY53" s="1">
        <v>13.3</v>
      </c>
      <c r="AZ53" s="1">
        <v>17.399999999999999</v>
      </c>
      <c r="BA53" s="1">
        <v>18.399999999999999</v>
      </c>
      <c r="BB53" s="1">
        <v>1.0574712643678161</v>
      </c>
      <c r="BC53" s="1">
        <v>1.286</v>
      </c>
      <c r="BD53" s="1">
        <v>1.4570000000000001</v>
      </c>
      <c r="BE53" s="12">
        <v>194</v>
      </c>
      <c r="BF53" s="1">
        <v>11</v>
      </c>
      <c r="BG53" s="1">
        <v>69</v>
      </c>
      <c r="BH53" s="1">
        <v>113</v>
      </c>
      <c r="BI53" s="1">
        <v>37.79</v>
      </c>
      <c r="BJ53" s="1">
        <v>61.81</v>
      </c>
      <c r="BK53" s="1">
        <v>0.61099999999999999</v>
      </c>
      <c r="BL53" s="22">
        <v>1</v>
      </c>
    </row>
    <row r="54" spans="1:64" x14ac:dyDescent="0.25">
      <c r="A54" s="20">
        <v>50</v>
      </c>
      <c r="B54" s="22">
        <v>66</v>
      </c>
      <c r="C54" s="1">
        <v>47</v>
      </c>
      <c r="D54" s="2">
        <v>1.55</v>
      </c>
      <c r="E54" s="1">
        <v>19.562955254942764</v>
      </c>
      <c r="F54" s="1">
        <v>21.8</v>
      </c>
      <c r="G54" s="1">
        <v>13.2</v>
      </c>
      <c r="H54" s="23">
        <v>1</v>
      </c>
      <c r="I54" s="7">
        <v>115</v>
      </c>
      <c r="J54" s="1">
        <v>116</v>
      </c>
      <c r="K54" s="1">
        <v>81</v>
      </c>
      <c r="L54" s="23">
        <v>1.4197530864197532</v>
      </c>
      <c r="M54" s="20">
        <v>94</v>
      </c>
      <c r="N54" s="20">
        <v>66</v>
      </c>
      <c r="O54" s="22">
        <v>61</v>
      </c>
      <c r="P54" s="20">
        <v>26</v>
      </c>
      <c r="Q54" s="20">
        <v>120</v>
      </c>
      <c r="R54" s="20">
        <v>70</v>
      </c>
      <c r="S54" s="20"/>
      <c r="T54" s="22">
        <v>88</v>
      </c>
      <c r="U54" s="20">
        <v>26</v>
      </c>
      <c r="V54" s="20">
        <v>120</v>
      </c>
      <c r="W54" s="20">
        <v>70</v>
      </c>
      <c r="X54" s="20"/>
      <c r="Y54" s="43"/>
      <c r="Z54" s="20"/>
      <c r="AA54" s="22">
        <v>6</v>
      </c>
      <c r="AB54" s="20">
        <v>6</v>
      </c>
      <c r="AC54" s="20">
        <v>6</v>
      </c>
      <c r="AD54" s="24">
        <v>479</v>
      </c>
      <c r="AE54" s="25">
        <v>542.21040790842869</v>
      </c>
      <c r="AF54" s="26">
        <v>88.342088793119586</v>
      </c>
      <c r="AG54" s="7">
        <v>533</v>
      </c>
      <c r="AH54" s="1">
        <v>9.3000000000000007</v>
      </c>
      <c r="AI54" s="1">
        <v>35.5</v>
      </c>
      <c r="AJ54" s="2">
        <v>-2.79</v>
      </c>
      <c r="AK54" s="1">
        <v>113</v>
      </c>
      <c r="AL54" s="1">
        <v>38.4</v>
      </c>
      <c r="AM54" s="1">
        <v>64.5</v>
      </c>
      <c r="AN54" s="1">
        <v>7.98</v>
      </c>
      <c r="AO54" s="1">
        <v>533</v>
      </c>
      <c r="AP54" s="1">
        <v>113</v>
      </c>
      <c r="AQ54" s="1">
        <v>91</v>
      </c>
      <c r="AR54" s="1">
        <v>121</v>
      </c>
      <c r="AS54" s="1">
        <v>9.6999999999999993</v>
      </c>
      <c r="AT54" s="1">
        <v>9.3000000000000007</v>
      </c>
      <c r="AU54" s="2">
        <v>2</v>
      </c>
      <c r="AV54" s="2">
        <v>0.3</v>
      </c>
      <c r="AW54" s="2">
        <v>3.01</v>
      </c>
      <c r="AX54" s="1">
        <v>51</v>
      </c>
      <c r="AY54" s="1">
        <v>38.4</v>
      </c>
      <c r="AZ54" s="1">
        <v>6.6</v>
      </c>
      <c r="BA54" s="1">
        <v>12</v>
      </c>
      <c r="BB54" s="1">
        <v>1.8181818181818183</v>
      </c>
      <c r="BC54" s="1">
        <v>1.4039999999999999</v>
      </c>
      <c r="BD54" s="1">
        <v>1.796</v>
      </c>
      <c r="BE54" s="12">
        <v>91</v>
      </c>
      <c r="BF54" s="1">
        <v>5</v>
      </c>
      <c r="BG54" s="1">
        <v>75</v>
      </c>
      <c r="BH54" s="1">
        <v>12</v>
      </c>
      <c r="BI54" s="1">
        <v>86.55</v>
      </c>
      <c r="BJ54" s="1">
        <v>13.41</v>
      </c>
      <c r="BK54" s="1">
        <v>6.4530000000000003</v>
      </c>
      <c r="BL54" s="22">
        <v>1</v>
      </c>
    </row>
    <row r="55" spans="1:64" x14ac:dyDescent="0.25">
      <c r="A55" s="20">
        <v>51</v>
      </c>
      <c r="B55" s="22">
        <v>39</v>
      </c>
      <c r="C55" s="1">
        <v>49</v>
      </c>
      <c r="D55" s="2">
        <v>1.65</v>
      </c>
      <c r="E55" s="1">
        <v>17.998163452708908</v>
      </c>
      <c r="F55" s="1">
        <v>16.600000000000001</v>
      </c>
      <c r="G55" s="1">
        <v>24</v>
      </c>
      <c r="H55" s="23">
        <v>0.875</v>
      </c>
      <c r="I55" s="7">
        <v>43</v>
      </c>
      <c r="J55" s="1">
        <v>43</v>
      </c>
      <c r="K55" s="1">
        <v>101</v>
      </c>
      <c r="L55" s="23">
        <v>0.42574257425742573</v>
      </c>
      <c r="M55" s="20">
        <v>28</v>
      </c>
      <c r="N55" s="20">
        <v>15</v>
      </c>
      <c r="O55" s="22">
        <v>87</v>
      </c>
      <c r="P55" s="20">
        <v>25</v>
      </c>
      <c r="Q55" s="20">
        <v>130</v>
      </c>
      <c r="R55" s="20">
        <v>70</v>
      </c>
      <c r="S55" s="20">
        <v>98</v>
      </c>
      <c r="T55" s="22">
        <v>114</v>
      </c>
      <c r="U55" s="20">
        <v>26</v>
      </c>
      <c r="V55" s="20">
        <v>120</v>
      </c>
      <c r="W55" s="20">
        <v>70</v>
      </c>
      <c r="X55" s="20">
        <v>95</v>
      </c>
      <c r="Y55" s="43">
        <v>-3.0612244897959182</v>
      </c>
      <c r="Z55" s="20">
        <v>2</v>
      </c>
      <c r="AA55" s="22">
        <v>3</v>
      </c>
      <c r="AB55" s="20">
        <v>4</v>
      </c>
      <c r="AC55" s="20">
        <v>4</v>
      </c>
      <c r="AD55" s="24">
        <v>375</v>
      </c>
      <c r="AE55" s="25">
        <v>616.99344398530775</v>
      </c>
      <c r="AF55" s="26">
        <v>60.778603671667177</v>
      </c>
      <c r="AG55" s="7">
        <v>543</v>
      </c>
      <c r="AH55" s="1">
        <v>35.299999999999997</v>
      </c>
      <c r="AI55" s="1">
        <v>39.4</v>
      </c>
      <c r="AJ55" s="2">
        <v>-1.95</v>
      </c>
      <c r="AK55" s="1">
        <v>111</v>
      </c>
      <c r="AL55" s="1">
        <v>14.7</v>
      </c>
      <c r="AM55" s="1">
        <v>60.6</v>
      </c>
      <c r="AN55" s="1">
        <v>3.85</v>
      </c>
      <c r="AO55" s="1">
        <v>543</v>
      </c>
      <c r="AP55" s="1">
        <v>111</v>
      </c>
      <c r="AQ55" s="1">
        <v>89</v>
      </c>
      <c r="AR55" s="1">
        <v>133</v>
      </c>
      <c r="AS55" s="1">
        <v>32.4</v>
      </c>
      <c r="AT55" s="1">
        <v>35.299999999999997</v>
      </c>
      <c r="AU55" s="2">
        <v>41</v>
      </c>
      <c r="AV55" s="2">
        <v>6.91</v>
      </c>
      <c r="AW55" s="2">
        <v>1.98</v>
      </c>
      <c r="AX55" s="1">
        <v>260</v>
      </c>
      <c r="AY55" s="1">
        <v>14.7</v>
      </c>
      <c r="AZ55" s="1">
        <v>24.9</v>
      </c>
      <c r="BA55" s="1">
        <v>38.4</v>
      </c>
      <c r="BB55" s="1">
        <v>1.5421686746987953</v>
      </c>
      <c r="BC55" s="1">
        <v>0.38100000000000001</v>
      </c>
      <c r="BD55" s="1">
        <v>0.22</v>
      </c>
      <c r="BE55" s="12">
        <v>326</v>
      </c>
      <c r="BF55" s="1">
        <v>13</v>
      </c>
      <c r="BG55" s="1">
        <v>101</v>
      </c>
      <c r="BH55" s="1">
        <v>210</v>
      </c>
      <c r="BI55" s="1">
        <v>32.380000000000003</v>
      </c>
      <c r="BJ55" s="1">
        <v>67.13</v>
      </c>
      <c r="BK55" s="1">
        <v>0.48199999999999998</v>
      </c>
      <c r="BL55" s="22">
        <v>1</v>
      </c>
    </row>
    <row r="56" spans="1:64" x14ac:dyDescent="0.25">
      <c r="A56" s="20">
        <v>52</v>
      </c>
      <c r="B56" s="22">
        <v>40</v>
      </c>
      <c r="C56" s="1">
        <v>72</v>
      </c>
      <c r="D56" s="2">
        <v>1.53</v>
      </c>
      <c r="E56" s="1">
        <v>30.757400999615534</v>
      </c>
      <c r="F56" s="1">
        <v>11.8</v>
      </c>
      <c r="G56" s="1">
        <v>8.8000000000000007</v>
      </c>
      <c r="H56" s="23">
        <v>1</v>
      </c>
      <c r="I56" s="7">
        <v>44</v>
      </c>
      <c r="J56" s="1">
        <v>45</v>
      </c>
      <c r="K56" s="1">
        <v>56</v>
      </c>
      <c r="L56" s="23">
        <v>0.7857142857142857</v>
      </c>
      <c r="M56" s="20">
        <v>44</v>
      </c>
      <c r="N56" s="20">
        <v>40</v>
      </c>
      <c r="O56" s="22">
        <v>79</v>
      </c>
      <c r="P56" s="20">
        <v>24</v>
      </c>
      <c r="Q56" s="20">
        <v>120</v>
      </c>
      <c r="R56" s="20">
        <v>80</v>
      </c>
      <c r="S56" s="20">
        <v>99</v>
      </c>
      <c r="T56" s="22">
        <v>108</v>
      </c>
      <c r="U56" s="20">
        <v>30</v>
      </c>
      <c r="V56" s="20">
        <v>140</v>
      </c>
      <c r="W56" s="20">
        <v>100</v>
      </c>
      <c r="X56" s="20">
        <v>98</v>
      </c>
      <c r="Y56" s="43">
        <v>-1.0101010101010102</v>
      </c>
      <c r="Z56" s="20">
        <v>2</v>
      </c>
      <c r="AA56" s="22">
        <v>4</v>
      </c>
      <c r="AB56" s="20">
        <v>5</v>
      </c>
      <c r="AC56" s="20">
        <v>7</v>
      </c>
      <c r="AD56" s="24">
        <v>360</v>
      </c>
      <c r="AE56" s="25">
        <v>551.47145713187251</v>
      </c>
      <c r="AF56" s="26">
        <v>65.279897145050924</v>
      </c>
      <c r="AG56" s="7">
        <v>557</v>
      </c>
      <c r="AH56" s="1">
        <v>111.5</v>
      </c>
      <c r="AI56" s="1">
        <v>60.8</v>
      </c>
      <c r="AJ56" s="2">
        <v>0.5</v>
      </c>
      <c r="AK56" s="1">
        <v>108</v>
      </c>
      <c r="AL56" s="1">
        <v>10</v>
      </c>
      <c r="AM56" s="1">
        <v>39.200000000000003</v>
      </c>
      <c r="AN56" s="1">
        <v>2.65</v>
      </c>
      <c r="AO56" s="1">
        <v>557</v>
      </c>
      <c r="AP56" s="1">
        <v>108</v>
      </c>
      <c r="AQ56" s="1">
        <v>91</v>
      </c>
      <c r="AR56" s="1">
        <v>146</v>
      </c>
      <c r="AS56" s="1">
        <v>66.400000000000006</v>
      </c>
      <c r="AT56" s="1">
        <v>111.5</v>
      </c>
      <c r="AU56" s="2">
        <v>240</v>
      </c>
      <c r="AV56" s="2">
        <v>38.03</v>
      </c>
      <c r="AW56" s="2">
        <v>4.82</v>
      </c>
      <c r="AX56" s="1">
        <v>241</v>
      </c>
      <c r="AY56" s="1">
        <v>10</v>
      </c>
      <c r="AZ56" s="1">
        <v>78.900000000000006</v>
      </c>
      <c r="BA56" s="1">
        <v>50.8</v>
      </c>
      <c r="BB56" s="1">
        <v>0.64385297845373879</v>
      </c>
      <c r="BC56" s="1">
        <v>0.68799999999999994</v>
      </c>
      <c r="BD56" s="1">
        <v>0.72299999999999998</v>
      </c>
      <c r="BE56" s="12">
        <v>931</v>
      </c>
      <c r="BF56" s="1">
        <v>12</v>
      </c>
      <c r="BG56" s="1">
        <v>1114</v>
      </c>
      <c r="BH56" s="1">
        <v>785</v>
      </c>
      <c r="BI56" s="1">
        <v>12.45</v>
      </c>
      <c r="BJ56" s="1">
        <v>85.42</v>
      </c>
      <c r="BK56" s="1">
        <v>0.14599999999999999</v>
      </c>
      <c r="BL56" s="22">
        <v>1</v>
      </c>
    </row>
    <row r="57" spans="1:64" x14ac:dyDescent="0.25">
      <c r="A57" s="20">
        <v>53</v>
      </c>
      <c r="B57" s="22">
        <v>60</v>
      </c>
      <c r="C57" s="1">
        <v>60</v>
      </c>
      <c r="D57" s="2">
        <v>1.47</v>
      </c>
      <c r="E57" s="1">
        <v>27.76620852422602</v>
      </c>
      <c r="F57" s="1">
        <v>16.600000000000001</v>
      </c>
      <c r="G57" s="1">
        <v>15.3</v>
      </c>
      <c r="H57" s="23">
        <v>1.125</v>
      </c>
      <c r="I57" s="7">
        <v>73</v>
      </c>
      <c r="J57" s="1">
        <v>74</v>
      </c>
      <c r="K57" s="1">
        <v>96</v>
      </c>
      <c r="L57" s="23">
        <v>0.76041666666666663</v>
      </c>
      <c r="M57" s="20">
        <v>68</v>
      </c>
      <c r="N57" s="20">
        <v>40</v>
      </c>
      <c r="O57" s="22">
        <v>79</v>
      </c>
      <c r="P57" s="20">
        <v>22</v>
      </c>
      <c r="Q57" s="20">
        <v>130</v>
      </c>
      <c r="R57" s="20">
        <v>80</v>
      </c>
      <c r="S57" s="20">
        <v>99</v>
      </c>
      <c r="T57" s="22">
        <v>92</v>
      </c>
      <c r="U57" s="20">
        <v>24</v>
      </c>
      <c r="V57" s="20">
        <v>130</v>
      </c>
      <c r="W57" s="20">
        <v>70</v>
      </c>
      <c r="X57" s="20">
        <v>66</v>
      </c>
      <c r="Y57" s="43">
        <v>-33.333333333333329</v>
      </c>
      <c r="Z57" s="20">
        <v>1</v>
      </c>
      <c r="AA57" s="22">
        <v>2</v>
      </c>
      <c r="AB57" s="20">
        <v>3</v>
      </c>
      <c r="AC57" s="20">
        <v>3</v>
      </c>
      <c r="AD57" s="24">
        <v>370</v>
      </c>
      <c r="AE57" s="25">
        <v>512.83856448701931</v>
      </c>
      <c r="AF57" s="26">
        <v>72.14746035530743</v>
      </c>
      <c r="AG57" s="7">
        <v>694</v>
      </c>
      <c r="AH57" s="1">
        <v>13.7</v>
      </c>
      <c r="AI57" s="1">
        <v>47.1</v>
      </c>
      <c r="AJ57" s="2">
        <v>-1.63</v>
      </c>
      <c r="AK57" s="1">
        <v>86</v>
      </c>
      <c r="AL57" s="1">
        <v>28.2</v>
      </c>
      <c r="AM57" s="1">
        <v>52.9</v>
      </c>
      <c r="AN57" s="1">
        <v>4.0999999999999996</v>
      </c>
      <c r="AO57" s="1">
        <v>694</v>
      </c>
      <c r="AP57" s="1">
        <v>86</v>
      </c>
      <c r="AQ57" s="1">
        <v>70</v>
      </c>
      <c r="AR57" s="1">
        <v>91</v>
      </c>
      <c r="AS57" s="1">
        <v>10.3</v>
      </c>
      <c r="AT57" s="1">
        <v>13.7</v>
      </c>
      <c r="AU57" s="2">
        <v>2</v>
      </c>
      <c r="AV57" s="2">
        <v>0.39</v>
      </c>
      <c r="AW57" s="2">
        <v>3.28</v>
      </c>
      <c r="AX57" s="1">
        <v>64</v>
      </c>
      <c r="AY57" s="1">
        <v>28.2</v>
      </c>
      <c r="AZ57" s="1">
        <v>9.6999999999999993</v>
      </c>
      <c r="BA57" s="1">
        <v>10.9</v>
      </c>
      <c r="BB57" s="1">
        <v>1.1237113402061858</v>
      </c>
      <c r="BC57" s="1">
        <v>1.3440000000000001</v>
      </c>
      <c r="BD57" s="1">
        <v>1.958</v>
      </c>
      <c r="BE57" s="12">
        <v>33</v>
      </c>
      <c r="BF57" s="1">
        <v>5</v>
      </c>
      <c r="BG57" s="1">
        <v>13</v>
      </c>
      <c r="BH57" s="1">
        <v>14</v>
      </c>
      <c r="BI57" s="1">
        <v>45.36</v>
      </c>
      <c r="BJ57" s="1">
        <v>49.1</v>
      </c>
      <c r="BK57" s="1">
        <v>0.92400000000000004</v>
      </c>
      <c r="BL57" s="22">
        <v>1</v>
      </c>
    </row>
    <row r="58" spans="1:64" x14ac:dyDescent="0.25">
      <c r="A58" s="20">
        <v>54</v>
      </c>
      <c r="B58" s="22">
        <v>23</v>
      </c>
      <c r="C58" s="1">
        <v>54</v>
      </c>
      <c r="D58" s="2">
        <v>1.65</v>
      </c>
      <c r="E58" s="1">
        <v>19.834710743801654</v>
      </c>
      <c r="F58" s="1">
        <v>18</v>
      </c>
      <c r="G58" s="1">
        <v>29.1</v>
      </c>
      <c r="H58" s="23">
        <v>0</v>
      </c>
      <c r="I58" s="7">
        <v>94</v>
      </c>
      <c r="J58" s="1">
        <v>95</v>
      </c>
      <c r="K58" s="1">
        <v>98</v>
      </c>
      <c r="L58" s="23">
        <v>0.95918367346938771</v>
      </c>
      <c r="M58" s="20">
        <v>71</v>
      </c>
      <c r="N58" s="20">
        <v>76</v>
      </c>
      <c r="O58" s="22">
        <v>57</v>
      </c>
      <c r="P58" s="20"/>
      <c r="Q58" s="20">
        <v>120</v>
      </c>
      <c r="R58" s="20">
        <v>80</v>
      </c>
      <c r="S58" s="20">
        <v>99</v>
      </c>
      <c r="T58" s="22">
        <v>142</v>
      </c>
      <c r="U58" s="20">
        <v>28</v>
      </c>
      <c r="V58" s="20">
        <v>150</v>
      </c>
      <c r="W58" s="20">
        <v>100</v>
      </c>
      <c r="X58" s="20">
        <v>99</v>
      </c>
      <c r="Y58" s="43">
        <v>0</v>
      </c>
      <c r="Z58" s="20">
        <v>2</v>
      </c>
      <c r="AA58" s="22">
        <v>1</v>
      </c>
      <c r="AB58" s="20">
        <v>1</v>
      </c>
      <c r="AC58" s="20">
        <v>1</v>
      </c>
      <c r="AD58" s="24">
        <v>592</v>
      </c>
      <c r="AE58" s="25">
        <v>671.58545867768601</v>
      </c>
      <c r="AF58" s="26">
        <v>88.14961556279296</v>
      </c>
      <c r="AG58" s="7">
        <v>489</v>
      </c>
      <c r="AH58" s="1">
        <v>10.4</v>
      </c>
      <c r="AI58" s="1">
        <v>26</v>
      </c>
      <c r="AJ58" s="2">
        <v>-3.17</v>
      </c>
      <c r="AK58" s="1">
        <v>123</v>
      </c>
      <c r="AL58" s="1">
        <v>20.399999999999999</v>
      </c>
      <c r="AM58" s="1">
        <v>74</v>
      </c>
      <c r="AN58" s="1">
        <v>6.02</v>
      </c>
      <c r="AO58" s="1">
        <v>489</v>
      </c>
      <c r="AP58" s="1">
        <v>123</v>
      </c>
      <c r="AQ58" s="1">
        <v>59</v>
      </c>
      <c r="AR58" s="1">
        <v>135</v>
      </c>
      <c r="AS58" s="1">
        <v>15.9</v>
      </c>
      <c r="AT58" s="1">
        <v>10.4</v>
      </c>
      <c r="AU58" s="2">
        <v>7</v>
      </c>
      <c r="AV58" s="2">
        <v>0.95</v>
      </c>
      <c r="AW58" s="2">
        <v>2.19</v>
      </c>
      <c r="AX58" s="1">
        <v>167</v>
      </c>
      <c r="AY58" s="1">
        <v>20.399999999999999</v>
      </c>
      <c r="AZ58" s="1">
        <v>7.4</v>
      </c>
      <c r="BA58" s="1">
        <v>20.9</v>
      </c>
      <c r="BB58" s="1">
        <v>2.8243243243243241</v>
      </c>
      <c r="BC58" s="1">
        <v>0.97899999999999998</v>
      </c>
      <c r="BD58" s="1">
        <v>0.97699999999999998</v>
      </c>
      <c r="BE58" s="12">
        <v>26</v>
      </c>
      <c r="BF58" s="1">
        <v>3</v>
      </c>
      <c r="BG58" s="1">
        <v>22</v>
      </c>
      <c r="BH58" s="1">
        <v>2</v>
      </c>
      <c r="BI58" s="1">
        <v>91.57</v>
      </c>
      <c r="BJ58" s="1">
        <v>8.33</v>
      </c>
      <c r="BK58" s="1">
        <v>10.994999999999999</v>
      </c>
      <c r="BL58" s="22">
        <v>1</v>
      </c>
    </row>
    <row r="59" spans="1:64" x14ac:dyDescent="0.25">
      <c r="A59" s="20">
        <v>55</v>
      </c>
      <c r="B59" s="22">
        <v>53</v>
      </c>
      <c r="C59" s="1">
        <v>51</v>
      </c>
      <c r="D59" s="2">
        <v>1.55</v>
      </c>
      <c r="E59" s="1">
        <v>21.227887617065555</v>
      </c>
      <c r="F59" s="1">
        <v>22.1</v>
      </c>
      <c r="G59" s="1">
        <v>18.899999999999999</v>
      </c>
      <c r="H59" s="23">
        <v>0</v>
      </c>
      <c r="I59" s="7">
        <v>96</v>
      </c>
      <c r="J59" s="1">
        <v>100</v>
      </c>
      <c r="K59" s="1">
        <v>125</v>
      </c>
      <c r="L59" s="23">
        <v>0.76800000000000002</v>
      </c>
      <c r="M59" s="20">
        <v>58</v>
      </c>
      <c r="N59" s="20">
        <v>24</v>
      </c>
      <c r="O59" s="22">
        <v>60</v>
      </c>
      <c r="P59" s="20">
        <v>20</v>
      </c>
      <c r="Q59" s="20">
        <v>120</v>
      </c>
      <c r="R59" s="20">
        <v>80</v>
      </c>
      <c r="S59" s="20"/>
      <c r="T59" s="22">
        <v>92</v>
      </c>
      <c r="U59" s="20">
        <v>24</v>
      </c>
      <c r="V59" s="20">
        <v>130</v>
      </c>
      <c r="W59" s="20">
        <v>80</v>
      </c>
      <c r="X59" s="20"/>
      <c r="Y59" s="43"/>
      <c r="Z59" s="20"/>
      <c r="AA59" s="22">
        <v>2</v>
      </c>
      <c r="AB59" s="20">
        <v>6</v>
      </c>
      <c r="AC59" s="20">
        <v>6</v>
      </c>
      <c r="AD59" s="24">
        <v>532</v>
      </c>
      <c r="AE59" s="25">
        <v>560.16068730489087</v>
      </c>
      <c r="AF59" s="26">
        <v>94.972748366119589</v>
      </c>
      <c r="AG59" s="7">
        <v>589</v>
      </c>
      <c r="AH59" s="1">
        <v>19.100000000000001</v>
      </c>
      <c r="AI59" s="1">
        <v>44.8</v>
      </c>
      <c r="AJ59" s="2">
        <v>-2.06</v>
      </c>
      <c r="AK59" s="1">
        <v>102</v>
      </c>
      <c r="AL59" s="1">
        <v>15.6</v>
      </c>
      <c r="AM59" s="1">
        <v>55.2</v>
      </c>
      <c r="AN59" s="1">
        <v>3.25</v>
      </c>
      <c r="AO59" s="1">
        <v>589</v>
      </c>
      <c r="AP59" s="1">
        <v>102</v>
      </c>
      <c r="AQ59" s="1">
        <v>82</v>
      </c>
      <c r="AR59" s="1">
        <v>108</v>
      </c>
      <c r="AS59" s="1">
        <v>15.2</v>
      </c>
      <c r="AT59" s="1">
        <v>19.100000000000001</v>
      </c>
      <c r="AU59" s="2">
        <v>7</v>
      </c>
      <c r="AV59" s="2">
        <v>1.1599999999999999</v>
      </c>
      <c r="AW59" s="2">
        <v>2.2400000000000002</v>
      </c>
      <c r="AX59" s="1">
        <v>224</v>
      </c>
      <c r="AY59" s="1">
        <v>15.6</v>
      </c>
      <c r="AZ59" s="1">
        <v>13.5</v>
      </c>
      <c r="BA59" s="1">
        <v>16.7</v>
      </c>
      <c r="BB59" s="1">
        <v>1.2370370370370369</v>
      </c>
      <c r="BC59" s="1">
        <v>0.95599999999999996</v>
      </c>
      <c r="BD59" s="1">
        <v>0.94399999999999995</v>
      </c>
      <c r="BE59" s="12">
        <v>81</v>
      </c>
      <c r="BF59" s="1">
        <v>11</v>
      </c>
      <c r="BG59" s="1">
        <v>21</v>
      </c>
      <c r="BH59" s="1">
        <v>48</v>
      </c>
      <c r="BI59" s="1">
        <v>30.59</v>
      </c>
      <c r="BJ59" s="1">
        <v>68.959999999999994</v>
      </c>
      <c r="BK59" s="1">
        <v>0.44400000000000001</v>
      </c>
      <c r="BL59" s="22">
        <v>1</v>
      </c>
    </row>
    <row r="60" spans="1:64" x14ac:dyDescent="0.25">
      <c r="A60" s="20">
        <v>56</v>
      </c>
      <c r="B60" s="22">
        <v>34</v>
      </c>
      <c r="C60" s="1">
        <v>51</v>
      </c>
      <c r="D60" s="2">
        <v>1.5</v>
      </c>
      <c r="E60" s="1">
        <v>22.666666666666668</v>
      </c>
      <c r="F60" s="1">
        <v>9.8000000000000007</v>
      </c>
      <c r="G60" s="1">
        <v>19.399999999999999</v>
      </c>
      <c r="H60" s="23">
        <v>0.375</v>
      </c>
      <c r="I60" s="7">
        <v>79</v>
      </c>
      <c r="J60" s="1">
        <v>80</v>
      </c>
      <c r="K60" s="1">
        <v>66</v>
      </c>
      <c r="L60" s="23">
        <v>1.196969696969697</v>
      </c>
      <c r="M60" s="20">
        <v>74</v>
      </c>
      <c r="N60" s="20">
        <v>38</v>
      </c>
      <c r="O60" s="22">
        <v>91</v>
      </c>
      <c r="P60" s="20">
        <v>22</v>
      </c>
      <c r="Q60" s="20">
        <v>110</v>
      </c>
      <c r="R60" s="20">
        <v>60</v>
      </c>
      <c r="S60" s="20"/>
      <c r="T60" s="22">
        <v>122</v>
      </c>
      <c r="U60" s="20">
        <v>24</v>
      </c>
      <c r="V60" s="20">
        <v>130</v>
      </c>
      <c r="W60" s="20">
        <v>90</v>
      </c>
      <c r="X60" s="20"/>
      <c r="Y60" s="43"/>
      <c r="Z60" s="20"/>
      <c r="AA60" s="22">
        <v>4</v>
      </c>
      <c r="AB60" s="20">
        <v>5</v>
      </c>
      <c r="AC60" s="20">
        <v>5</v>
      </c>
      <c r="AD60" s="24">
        <v>384</v>
      </c>
      <c r="AE60" s="25">
        <v>612.21533333333343</v>
      </c>
      <c r="AF60" s="26">
        <v>62.72302882536971</v>
      </c>
      <c r="AG60" s="7">
        <v>490</v>
      </c>
      <c r="AH60" s="1">
        <v>4.0999999999999996</v>
      </c>
      <c r="AI60" s="1">
        <v>31.9</v>
      </c>
      <c r="AJ60" s="2">
        <v>-3.32</v>
      </c>
      <c r="AK60" s="1">
        <v>122</v>
      </c>
      <c r="AL60" s="1">
        <v>49</v>
      </c>
      <c r="AM60" s="1">
        <v>68.099999999999994</v>
      </c>
      <c r="AN60" s="1">
        <v>10.9</v>
      </c>
      <c r="AO60" s="1">
        <v>490</v>
      </c>
      <c r="AP60" s="1">
        <v>122</v>
      </c>
      <c r="AQ60" s="1">
        <v>91</v>
      </c>
      <c r="AR60" s="1">
        <v>133</v>
      </c>
      <c r="AS60" s="1">
        <v>4.8</v>
      </c>
      <c r="AT60" s="1">
        <v>4.0999999999999996</v>
      </c>
      <c r="AU60" s="2">
        <v>0</v>
      </c>
      <c r="AV60" s="2">
        <v>0</v>
      </c>
      <c r="AW60" s="2">
        <v>1.88</v>
      </c>
      <c r="AX60" s="1">
        <v>31</v>
      </c>
      <c r="AY60" s="1">
        <v>49</v>
      </c>
      <c r="AZ60" s="1">
        <v>2.9</v>
      </c>
      <c r="BA60" s="1">
        <v>6.1</v>
      </c>
      <c r="BB60" s="1">
        <v>2.103448275862069</v>
      </c>
      <c r="BC60" s="1">
        <v>1.2649999999999999</v>
      </c>
      <c r="BD60" s="1">
        <v>1.379</v>
      </c>
      <c r="BE60" s="12">
        <v>17</v>
      </c>
      <c r="BF60" s="1">
        <v>3</v>
      </c>
      <c r="BG60" s="1">
        <v>13</v>
      </c>
      <c r="BH60" s="1">
        <v>2</v>
      </c>
      <c r="BI60" s="1">
        <v>87.95</v>
      </c>
      <c r="BJ60" s="1">
        <v>12.01</v>
      </c>
      <c r="BK60" s="1">
        <v>17</v>
      </c>
      <c r="BL60" s="22">
        <v>1</v>
      </c>
    </row>
    <row r="61" spans="1:64" x14ac:dyDescent="0.25">
      <c r="A61" s="20">
        <v>57</v>
      </c>
      <c r="B61" s="22">
        <v>23</v>
      </c>
      <c r="C61" s="1">
        <v>48</v>
      </c>
      <c r="D61" s="2">
        <v>1.56</v>
      </c>
      <c r="E61" s="1">
        <v>19.723865877712029</v>
      </c>
      <c r="F61" s="1">
        <v>15.8</v>
      </c>
      <c r="G61" s="1">
        <v>24.4</v>
      </c>
      <c r="H61" s="23">
        <v>0.625</v>
      </c>
      <c r="I61" s="7">
        <v>98</v>
      </c>
      <c r="J61" s="1">
        <v>105</v>
      </c>
      <c r="K61" s="1">
        <v>103</v>
      </c>
      <c r="L61" s="23">
        <v>0.95145631067961167</v>
      </c>
      <c r="M61" s="20">
        <v>76</v>
      </c>
      <c r="N61" s="20">
        <v>59</v>
      </c>
      <c r="O61" s="22">
        <v>75</v>
      </c>
      <c r="P61" s="20">
        <v>30</v>
      </c>
      <c r="Q61" s="20">
        <v>100</v>
      </c>
      <c r="R61" s="20">
        <v>80</v>
      </c>
      <c r="S61" s="20">
        <v>99</v>
      </c>
      <c r="T61" s="22">
        <v>111</v>
      </c>
      <c r="U61" s="20">
        <v>36</v>
      </c>
      <c r="V61" s="20">
        <v>110</v>
      </c>
      <c r="W61" s="20">
        <v>80</v>
      </c>
      <c r="X61" s="20">
        <v>98</v>
      </c>
      <c r="Y61" s="43">
        <v>-1.0101010101010102</v>
      </c>
      <c r="Z61" s="20">
        <v>2</v>
      </c>
      <c r="AA61" s="22">
        <v>5</v>
      </c>
      <c r="AB61" s="20">
        <v>5</v>
      </c>
      <c r="AC61" s="20">
        <v>7</v>
      </c>
      <c r="AD61" s="24">
        <v>465</v>
      </c>
      <c r="AE61" s="25">
        <v>672.12527317554247</v>
      </c>
      <c r="AF61" s="26">
        <v>69.183531487076451</v>
      </c>
      <c r="AG61" s="7">
        <v>588</v>
      </c>
      <c r="AH61" s="1">
        <v>14.7</v>
      </c>
      <c r="AI61" s="1">
        <v>32.700000000000003</v>
      </c>
      <c r="AJ61" s="2">
        <v>-2.3199999999999998</v>
      </c>
      <c r="AK61" s="1">
        <v>102</v>
      </c>
      <c r="AL61" s="1">
        <v>21.6</v>
      </c>
      <c r="AM61" s="1">
        <v>67.599999999999994</v>
      </c>
      <c r="AN61" s="1">
        <v>4.3499999999999996</v>
      </c>
      <c r="AO61" s="1">
        <v>588</v>
      </c>
      <c r="AP61" s="1">
        <v>102</v>
      </c>
      <c r="AQ61" s="1">
        <v>77</v>
      </c>
      <c r="AR61" s="1">
        <v>117</v>
      </c>
      <c r="AS61" s="1">
        <v>17.100000000000001</v>
      </c>
      <c r="AT61" s="1">
        <v>14.7</v>
      </c>
      <c r="AU61" s="2">
        <v>4</v>
      </c>
      <c r="AV61" s="2">
        <v>0.65</v>
      </c>
      <c r="AW61" s="2">
        <v>4.05</v>
      </c>
      <c r="AX61" s="1">
        <v>117</v>
      </c>
      <c r="AY61" s="1">
        <v>21.6</v>
      </c>
      <c r="AZ61" s="1">
        <v>10.4</v>
      </c>
      <c r="BA61" s="1">
        <v>21.7</v>
      </c>
      <c r="BB61" s="1">
        <v>2.0865384615384612</v>
      </c>
      <c r="BC61" s="1">
        <v>1.2849999999999999</v>
      </c>
      <c r="BD61" s="1">
        <v>1.5669999999999999</v>
      </c>
      <c r="BE61" s="12">
        <v>179</v>
      </c>
      <c r="BF61" s="1">
        <v>33</v>
      </c>
      <c r="BG61" s="1">
        <v>118</v>
      </c>
      <c r="BH61" s="1">
        <v>27</v>
      </c>
      <c r="BI61" s="1">
        <v>81.14</v>
      </c>
      <c r="BJ61" s="1">
        <v>18.809999999999999</v>
      </c>
      <c r="BK61" s="1">
        <v>4.3150000000000004</v>
      </c>
      <c r="BL61" s="22">
        <v>1</v>
      </c>
    </row>
    <row r="62" spans="1:64" x14ac:dyDescent="0.25">
      <c r="A62" s="20">
        <v>58</v>
      </c>
      <c r="B62" s="22">
        <v>39</v>
      </c>
      <c r="C62" s="1">
        <v>68.5</v>
      </c>
      <c r="D62" s="2">
        <v>1.61</v>
      </c>
      <c r="E62" s="1">
        <v>26.42644959685197</v>
      </c>
      <c r="F62" s="1">
        <v>33.200000000000003</v>
      </c>
      <c r="G62" s="1">
        <v>24.2</v>
      </c>
      <c r="H62" s="23">
        <v>1.125</v>
      </c>
      <c r="I62" s="7">
        <v>49</v>
      </c>
      <c r="J62" s="1">
        <v>51</v>
      </c>
      <c r="K62" s="1">
        <v>31</v>
      </c>
      <c r="L62" s="23">
        <v>1.5806451612903225</v>
      </c>
      <c r="M62" s="20">
        <v>131</v>
      </c>
      <c r="N62" s="20">
        <v>86</v>
      </c>
      <c r="O62" s="22">
        <v>77</v>
      </c>
      <c r="P62" s="20">
        <v>24</v>
      </c>
      <c r="Q62" s="20">
        <v>120</v>
      </c>
      <c r="R62" s="20">
        <v>70</v>
      </c>
      <c r="S62" s="20">
        <v>95</v>
      </c>
      <c r="T62" s="22">
        <v>122</v>
      </c>
      <c r="U62" s="20">
        <v>41</v>
      </c>
      <c r="V62" s="20">
        <v>130</v>
      </c>
      <c r="W62" s="20">
        <v>70</v>
      </c>
      <c r="X62" s="20">
        <v>100</v>
      </c>
      <c r="Y62" s="43">
        <v>5.2631578947368416</v>
      </c>
      <c r="Z62" s="20">
        <v>2</v>
      </c>
      <c r="AA62" s="22">
        <v>4</v>
      </c>
      <c r="AB62" s="20">
        <v>6</v>
      </c>
      <c r="AC62" s="20">
        <v>7</v>
      </c>
      <c r="AD62" s="24">
        <v>427</v>
      </c>
      <c r="AE62" s="25">
        <v>575.94769046333101</v>
      </c>
      <c r="AF62" s="26">
        <v>74.138677360871526</v>
      </c>
      <c r="AG62" s="7">
        <v>491</v>
      </c>
      <c r="AH62" s="1">
        <v>5.2</v>
      </c>
      <c r="AI62" s="1">
        <v>35.799999999999997</v>
      </c>
      <c r="AJ62" s="2">
        <v>-3.24</v>
      </c>
      <c r="AK62" s="1">
        <v>122</v>
      </c>
      <c r="AL62" s="1">
        <v>40.700000000000003</v>
      </c>
      <c r="AM62" s="1">
        <v>64.2</v>
      </c>
      <c r="AN62" s="1">
        <v>9.39</v>
      </c>
      <c r="AO62" s="1">
        <v>491</v>
      </c>
      <c r="AP62" s="1">
        <v>122</v>
      </c>
      <c r="AQ62" s="1">
        <v>93</v>
      </c>
      <c r="AR62" s="1">
        <v>131</v>
      </c>
      <c r="AS62" s="1">
        <v>5.3</v>
      </c>
      <c r="AT62" s="1">
        <v>5.2</v>
      </c>
      <c r="AU62" s="2">
        <v>1</v>
      </c>
      <c r="AV62" s="2">
        <v>0.14000000000000001</v>
      </c>
      <c r="AW62" s="2">
        <v>1.87</v>
      </c>
      <c r="AX62" s="1">
        <v>44</v>
      </c>
      <c r="AY62" s="1">
        <v>40.700000000000003</v>
      </c>
      <c r="AZ62" s="1">
        <v>3.7</v>
      </c>
      <c r="BA62" s="1">
        <v>6.6</v>
      </c>
      <c r="BB62" s="1">
        <v>1.796</v>
      </c>
      <c r="BC62" s="1">
        <v>1.218</v>
      </c>
      <c r="BD62" s="1">
        <v>1.333</v>
      </c>
      <c r="BE62" s="12">
        <v>12</v>
      </c>
      <c r="BF62" s="1">
        <v>1</v>
      </c>
      <c r="BG62" s="1">
        <v>10</v>
      </c>
      <c r="BH62" s="1">
        <v>1</v>
      </c>
      <c r="BI62" s="1">
        <v>91.01</v>
      </c>
      <c r="BJ62" s="1">
        <v>8.9700000000000006</v>
      </c>
      <c r="BK62" s="1">
        <v>10.148</v>
      </c>
      <c r="BL62" s="22">
        <v>1</v>
      </c>
    </row>
    <row r="63" spans="1:64" x14ac:dyDescent="0.25">
      <c r="A63" s="20">
        <v>59</v>
      </c>
      <c r="B63" s="22">
        <v>33</v>
      </c>
      <c r="C63" s="1">
        <v>54</v>
      </c>
      <c r="D63" s="2">
        <v>1.54</v>
      </c>
      <c r="E63" s="1">
        <v>22.769438353853939</v>
      </c>
      <c r="F63" s="1">
        <v>26.8</v>
      </c>
      <c r="G63" s="1">
        <v>22.5</v>
      </c>
      <c r="H63" s="23">
        <v>0</v>
      </c>
      <c r="I63" s="7">
        <v>77</v>
      </c>
      <c r="J63" s="1">
        <v>72</v>
      </c>
      <c r="K63" s="1">
        <v>108</v>
      </c>
      <c r="L63" s="23">
        <v>0.71296296296296291</v>
      </c>
      <c r="M63" s="20">
        <v>66</v>
      </c>
      <c r="N63" s="20">
        <v>41</v>
      </c>
      <c r="O63" s="22">
        <v>67</v>
      </c>
      <c r="P63" s="20">
        <v>18</v>
      </c>
      <c r="Q63" s="20">
        <v>110</v>
      </c>
      <c r="R63" s="20">
        <v>80</v>
      </c>
      <c r="S63" s="20">
        <v>99</v>
      </c>
      <c r="T63" s="22">
        <v>102</v>
      </c>
      <c r="U63" s="20">
        <v>24</v>
      </c>
      <c r="V63" s="20">
        <v>130</v>
      </c>
      <c r="W63" s="20">
        <v>60</v>
      </c>
      <c r="X63" s="20">
        <v>99</v>
      </c>
      <c r="Y63" s="43">
        <v>0</v>
      </c>
      <c r="Z63" s="20">
        <v>2</v>
      </c>
      <c r="AA63" s="22">
        <v>2</v>
      </c>
      <c r="AB63" s="20">
        <v>3</v>
      </c>
      <c r="AC63" s="20">
        <v>3</v>
      </c>
      <c r="AD63" s="24">
        <v>470</v>
      </c>
      <c r="AE63" s="25">
        <v>615.51333521673143</v>
      </c>
      <c r="AF63" s="26">
        <v>76.359028002944243</v>
      </c>
      <c r="AG63" s="7">
        <v>584</v>
      </c>
      <c r="AH63" s="1">
        <v>6.7</v>
      </c>
      <c r="AI63" s="1">
        <v>25</v>
      </c>
      <c r="AJ63" s="2">
        <v>-2.64</v>
      </c>
      <c r="AK63" s="1">
        <v>103</v>
      </c>
      <c r="AL63" s="1">
        <v>27.5</v>
      </c>
      <c r="AM63" s="1">
        <v>75</v>
      </c>
      <c r="AN63" s="1">
        <v>5.43</v>
      </c>
      <c r="AO63" s="1">
        <v>584</v>
      </c>
      <c r="AP63" s="1">
        <v>103</v>
      </c>
      <c r="AQ63" s="1">
        <v>74</v>
      </c>
      <c r="AR63" s="1">
        <v>112</v>
      </c>
      <c r="AS63" s="1">
        <v>10.7</v>
      </c>
      <c r="AT63" s="1">
        <v>6.7</v>
      </c>
      <c r="AU63" s="2">
        <v>2</v>
      </c>
      <c r="AV63" s="2">
        <v>0.33</v>
      </c>
      <c r="AW63" s="2">
        <v>3.25</v>
      </c>
      <c r="AX63" s="1">
        <v>79</v>
      </c>
      <c r="AY63" s="1">
        <v>27.5</v>
      </c>
      <c r="AZ63" s="1">
        <v>4.8</v>
      </c>
      <c r="BA63" s="1">
        <v>14.3</v>
      </c>
      <c r="BB63" s="1">
        <v>3.0030000000000001</v>
      </c>
      <c r="BC63" s="1">
        <v>1.2330000000000001</v>
      </c>
      <c r="BD63" s="1">
        <v>1.34</v>
      </c>
      <c r="BE63" s="12">
        <v>64</v>
      </c>
      <c r="BF63" s="1">
        <v>5</v>
      </c>
      <c r="BG63" s="1">
        <v>56</v>
      </c>
      <c r="BH63" s="1">
        <v>3</v>
      </c>
      <c r="BI63" s="1">
        <v>95</v>
      </c>
      <c r="BJ63" s="1">
        <v>4.9800000000000004</v>
      </c>
      <c r="BK63" s="1">
        <v>19.061</v>
      </c>
      <c r="BL63" s="22">
        <v>1</v>
      </c>
    </row>
    <row r="64" spans="1:64" x14ac:dyDescent="0.25">
      <c r="A64" s="20">
        <v>60</v>
      </c>
      <c r="B64" s="22">
        <v>41</v>
      </c>
      <c r="C64" s="1">
        <v>48</v>
      </c>
      <c r="D64" s="2">
        <v>1.56</v>
      </c>
      <c r="E64" s="1">
        <v>19.723865877712029</v>
      </c>
      <c r="F64" s="1">
        <v>22.5</v>
      </c>
      <c r="G64" s="1"/>
      <c r="H64" s="23">
        <v>0</v>
      </c>
      <c r="I64" s="7">
        <v>81</v>
      </c>
      <c r="J64" s="1">
        <v>82</v>
      </c>
      <c r="K64" s="1">
        <v>121</v>
      </c>
      <c r="L64" s="23">
        <v>0.66942148760330578</v>
      </c>
      <c r="M64" s="20">
        <v>82</v>
      </c>
      <c r="N64" s="20">
        <v>51</v>
      </c>
      <c r="O64" s="22">
        <v>72</v>
      </c>
      <c r="P64" s="20">
        <v>16</v>
      </c>
      <c r="Q64" s="20">
        <v>120</v>
      </c>
      <c r="R64" s="20">
        <v>60</v>
      </c>
      <c r="S64" s="20"/>
      <c r="T64" s="22">
        <v>139</v>
      </c>
      <c r="U64" s="20">
        <v>28</v>
      </c>
      <c r="V64" s="20">
        <v>130</v>
      </c>
      <c r="W64" s="20">
        <v>80</v>
      </c>
      <c r="X64" s="20"/>
      <c r="Y64" s="43"/>
      <c r="Z64" s="20"/>
      <c r="AA64" s="22">
        <v>3</v>
      </c>
      <c r="AB64" s="20">
        <v>3</v>
      </c>
      <c r="AC64" s="20">
        <v>4</v>
      </c>
      <c r="AD64" s="24">
        <v>585</v>
      </c>
      <c r="AE64" s="25">
        <v>601.88927317554248</v>
      </c>
      <c r="AF64" s="26">
        <v>97.193956774402153</v>
      </c>
      <c r="AG64" s="7">
        <v>494</v>
      </c>
      <c r="AH64" s="1">
        <v>7</v>
      </c>
      <c r="AI64" s="1">
        <v>44</v>
      </c>
      <c r="AJ64" s="2">
        <v>-3.12</v>
      </c>
      <c r="AK64" s="1">
        <v>122</v>
      </c>
      <c r="AL64" s="1">
        <v>48</v>
      </c>
      <c r="AM64" s="1">
        <v>56</v>
      </c>
      <c r="AN64" s="1">
        <v>10.54</v>
      </c>
      <c r="AO64" s="1">
        <v>494</v>
      </c>
      <c r="AP64" s="1">
        <v>122</v>
      </c>
      <c r="AQ64" s="1">
        <v>103</v>
      </c>
      <c r="AR64" s="1">
        <v>129</v>
      </c>
      <c r="AS64" s="1">
        <v>5.7</v>
      </c>
      <c r="AT64" s="1">
        <v>7</v>
      </c>
      <c r="AU64" s="2">
        <v>0</v>
      </c>
      <c r="AV64" s="2">
        <v>0</v>
      </c>
      <c r="AW64" s="2">
        <v>2.2000000000000002</v>
      </c>
      <c r="AX64" s="1">
        <v>34</v>
      </c>
      <c r="AY64" s="1">
        <v>48</v>
      </c>
      <c r="AZ64" s="1">
        <v>4.9000000000000004</v>
      </c>
      <c r="BA64" s="1">
        <v>6.3</v>
      </c>
      <c r="BB64" s="1">
        <v>1.2729999999999999</v>
      </c>
      <c r="BC64" s="1">
        <v>1.355</v>
      </c>
      <c r="BD64" s="1">
        <v>1.651</v>
      </c>
      <c r="BE64" s="12">
        <v>7</v>
      </c>
      <c r="BF64" s="1">
        <v>1</v>
      </c>
      <c r="BG64" s="1">
        <v>5</v>
      </c>
      <c r="BH64" s="1">
        <v>1</v>
      </c>
      <c r="BI64" s="1">
        <v>86.41</v>
      </c>
      <c r="BJ64" s="1">
        <v>13.51</v>
      </c>
      <c r="BK64" s="1">
        <v>6.3970000000000002</v>
      </c>
      <c r="BL64" s="22">
        <v>1</v>
      </c>
    </row>
    <row r="65" spans="1:64" x14ac:dyDescent="0.25">
      <c r="A65" s="20">
        <v>61</v>
      </c>
      <c r="B65" s="22">
        <v>57</v>
      </c>
      <c r="C65" s="1">
        <v>46</v>
      </c>
      <c r="D65" s="2">
        <v>1.5</v>
      </c>
      <c r="E65" s="1">
        <v>20.444444444444443</v>
      </c>
      <c r="F65" s="1">
        <v>20.399999999999999</v>
      </c>
      <c r="G65" s="1">
        <v>7</v>
      </c>
      <c r="H65" s="23">
        <v>2.5</v>
      </c>
      <c r="I65" s="7">
        <v>46</v>
      </c>
      <c r="J65" s="1">
        <v>39</v>
      </c>
      <c r="K65" s="1">
        <v>89</v>
      </c>
      <c r="L65" s="23">
        <v>0.5168539325842697</v>
      </c>
      <c r="M65" s="20">
        <v>28</v>
      </c>
      <c r="N65" s="20">
        <v>9</v>
      </c>
      <c r="O65" s="22">
        <v>93</v>
      </c>
      <c r="P65" s="20">
        <v>24</v>
      </c>
      <c r="Q65" s="20">
        <v>120</v>
      </c>
      <c r="R65" s="20">
        <v>80</v>
      </c>
      <c r="S65" s="20"/>
      <c r="T65" s="22">
        <v>126</v>
      </c>
      <c r="U65" s="20">
        <v>28</v>
      </c>
      <c r="V65" s="20">
        <v>150</v>
      </c>
      <c r="W65" s="20">
        <v>70</v>
      </c>
      <c r="X65" s="20"/>
      <c r="Y65" s="43"/>
      <c r="Z65" s="20"/>
      <c r="AA65" s="22">
        <v>2</v>
      </c>
      <c r="AB65" s="20">
        <v>3</v>
      </c>
      <c r="AC65" s="20">
        <v>4</v>
      </c>
      <c r="AD65" s="24">
        <v>331</v>
      </c>
      <c r="AE65" s="25">
        <v>554.71605555555561</v>
      </c>
      <c r="AF65" s="26">
        <v>59.670167590245612</v>
      </c>
      <c r="AG65" s="7">
        <v>417</v>
      </c>
      <c r="AH65" s="1">
        <v>3.8</v>
      </c>
      <c r="AI65" s="1">
        <v>19.2</v>
      </c>
      <c r="AJ65" s="2">
        <v>-3.99</v>
      </c>
      <c r="AK65" s="1">
        <v>144</v>
      </c>
      <c r="AL65" s="1">
        <v>30.8</v>
      </c>
      <c r="AM65" s="1">
        <v>80.8</v>
      </c>
      <c r="AN65" s="1">
        <v>9.98</v>
      </c>
      <c r="AO65" s="1">
        <v>417</v>
      </c>
      <c r="AP65" s="1">
        <v>144</v>
      </c>
      <c r="AQ65" s="1">
        <v>87</v>
      </c>
      <c r="AR65" s="1">
        <v>158</v>
      </c>
      <c r="AS65" s="1">
        <v>8.4</v>
      </c>
      <c r="AT65" s="1">
        <v>3.8</v>
      </c>
      <c r="AU65" s="2">
        <v>0</v>
      </c>
      <c r="AV65" s="2">
        <v>0</v>
      </c>
      <c r="AW65" s="2">
        <v>1.38</v>
      </c>
      <c r="AX65" s="1">
        <v>77</v>
      </c>
      <c r="AY65" s="1">
        <v>30.8</v>
      </c>
      <c r="AZ65" s="1">
        <v>2.7</v>
      </c>
      <c r="BA65" s="1">
        <v>11.5</v>
      </c>
      <c r="BB65" s="1">
        <v>4.2190000000000003</v>
      </c>
      <c r="BC65" s="1">
        <v>0.83799999999999997</v>
      </c>
      <c r="BD65" s="1">
        <v>0.77500000000000002</v>
      </c>
      <c r="BE65" s="12">
        <v>10</v>
      </c>
      <c r="BF65" s="1">
        <v>2</v>
      </c>
      <c r="BG65" s="1">
        <v>7</v>
      </c>
      <c r="BH65" s="1">
        <v>1</v>
      </c>
      <c r="BI65" s="1">
        <v>90.54</v>
      </c>
      <c r="BJ65" s="1">
        <v>9.44</v>
      </c>
      <c r="BK65" s="1">
        <v>9.5890000000000004</v>
      </c>
      <c r="BL65" s="22">
        <v>1</v>
      </c>
    </row>
    <row r="66" spans="1:64" x14ac:dyDescent="0.25">
      <c r="A66" s="20">
        <v>62</v>
      </c>
      <c r="B66" s="22">
        <v>54</v>
      </c>
      <c r="C66" s="1">
        <v>55</v>
      </c>
      <c r="D66" s="2">
        <v>1.61</v>
      </c>
      <c r="E66" s="1">
        <v>21.218317194552675</v>
      </c>
      <c r="F66" s="1">
        <v>23.6</v>
      </c>
      <c r="G66" s="1">
        <v>23.9</v>
      </c>
      <c r="H66" s="23">
        <v>0.5</v>
      </c>
      <c r="I66" s="7">
        <v>93</v>
      </c>
      <c r="J66" s="1">
        <v>91</v>
      </c>
      <c r="K66" s="1">
        <v>133</v>
      </c>
      <c r="L66" s="23">
        <v>0.6992481203007519</v>
      </c>
      <c r="M66" s="20">
        <v>46</v>
      </c>
      <c r="N66" s="20">
        <v>42</v>
      </c>
      <c r="O66" s="22">
        <v>94</v>
      </c>
      <c r="P66" s="20">
        <v>26</v>
      </c>
      <c r="Q66" s="20">
        <v>120</v>
      </c>
      <c r="R66" s="20">
        <v>80</v>
      </c>
      <c r="S66" s="20">
        <v>89</v>
      </c>
      <c r="T66" s="22">
        <v>94</v>
      </c>
      <c r="U66" s="20">
        <v>34</v>
      </c>
      <c r="V66" s="20">
        <v>140</v>
      </c>
      <c r="W66" s="20">
        <v>90</v>
      </c>
      <c r="X66" s="20">
        <v>87</v>
      </c>
      <c r="Y66" s="43">
        <v>-2.2471910112359552</v>
      </c>
      <c r="Z66" s="20">
        <v>2</v>
      </c>
      <c r="AA66" s="22">
        <v>4</v>
      </c>
      <c r="AB66" s="20">
        <v>7</v>
      </c>
      <c r="AC66" s="20">
        <v>8</v>
      </c>
      <c r="AD66" s="24">
        <v>416</v>
      </c>
      <c r="AE66" s="25">
        <v>557.78879526252842</v>
      </c>
      <c r="AF66" s="26">
        <v>74.58020016415098</v>
      </c>
      <c r="AG66" s="7">
        <v>608</v>
      </c>
      <c r="AH66" s="1">
        <v>5.9</v>
      </c>
      <c r="AI66" s="1">
        <v>27.7</v>
      </c>
      <c r="AJ66" s="2">
        <v>-2.5</v>
      </c>
      <c r="AK66" s="1">
        <v>99</v>
      </c>
      <c r="AL66" s="1">
        <v>35.6</v>
      </c>
      <c r="AM66" s="1">
        <v>72.3</v>
      </c>
      <c r="AN66" s="1">
        <v>6.39</v>
      </c>
      <c r="AO66" s="1">
        <v>608</v>
      </c>
      <c r="AP66" s="1">
        <v>99</v>
      </c>
      <c r="AQ66" s="1">
        <v>86</v>
      </c>
      <c r="AR66" s="1">
        <v>106</v>
      </c>
      <c r="AS66" s="1">
        <v>8.3000000000000007</v>
      </c>
      <c r="AT66" s="1">
        <v>5.9</v>
      </c>
      <c r="AU66" s="2">
        <v>0</v>
      </c>
      <c r="AV66" s="2">
        <v>0</v>
      </c>
      <c r="AW66" s="2">
        <v>2.89</v>
      </c>
      <c r="AX66" s="1">
        <v>42</v>
      </c>
      <c r="AY66" s="1">
        <v>35.6</v>
      </c>
      <c r="AZ66" s="1">
        <v>4.2</v>
      </c>
      <c r="BA66" s="1">
        <v>10.9</v>
      </c>
      <c r="BB66" s="1">
        <v>2.609</v>
      </c>
      <c r="BC66" s="1">
        <v>1.343</v>
      </c>
      <c r="BD66" s="1">
        <v>1.613</v>
      </c>
      <c r="BE66" s="12">
        <v>72</v>
      </c>
      <c r="BF66" s="1">
        <v>12</v>
      </c>
      <c r="BG66" s="1">
        <v>51</v>
      </c>
      <c r="BH66" s="1">
        <v>9</v>
      </c>
      <c r="BI66" s="1">
        <v>85.57</v>
      </c>
      <c r="BJ66" s="1">
        <v>14.38</v>
      </c>
      <c r="BK66" s="1">
        <v>5.95</v>
      </c>
      <c r="BL66" s="22">
        <v>1</v>
      </c>
    </row>
    <row r="67" spans="1:64" x14ac:dyDescent="0.25">
      <c r="A67" s="20">
        <v>63</v>
      </c>
      <c r="B67" s="22">
        <v>48</v>
      </c>
      <c r="C67" s="1">
        <v>80</v>
      </c>
      <c r="D67" s="2">
        <v>1.7</v>
      </c>
      <c r="E67" s="1">
        <v>27.681660899653981</v>
      </c>
      <c r="F67" s="1">
        <v>9.4</v>
      </c>
      <c r="G67" s="1">
        <v>24.3</v>
      </c>
      <c r="H67" s="23">
        <v>1.625</v>
      </c>
      <c r="I67" s="7">
        <v>94</v>
      </c>
      <c r="J67" s="1">
        <v>96</v>
      </c>
      <c r="K67" s="1">
        <v>119</v>
      </c>
      <c r="L67" s="23">
        <v>0.78991596638655459</v>
      </c>
      <c r="M67" s="20">
        <v>107</v>
      </c>
      <c r="N67" s="20">
        <v>59</v>
      </c>
      <c r="O67" s="22">
        <v>85</v>
      </c>
      <c r="P67" s="20">
        <v>16</v>
      </c>
      <c r="Q67" s="20">
        <v>130</v>
      </c>
      <c r="R67" s="20">
        <v>70</v>
      </c>
      <c r="S67" s="20">
        <v>99</v>
      </c>
      <c r="T67" s="22">
        <v>122</v>
      </c>
      <c r="U67" s="20">
        <v>24</v>
      </c>
      <c r="V67" s="20">
        <v>140</v>
      </c>
      <c r="W67" s="20">
        <v>70</v>
      </c>
      <c r="X67" s="20">
        <v>99</v>
      </c>
      <c r="Y67" s="43">
        <v>0</v>
      </c>
      <c r="Z67" s="20">
        <v>2</v>
      </c>
      <c r="AA67" s="22">
        <v>2</v>
      </c>
      <c r="AB67" s="20">
        <v>4</v>
      </c>
      <c r="AC67" s="20">
        <v>6</v>
      </c>
      <c r="AD67" s="24">
        <v>458</v>
      </c>
      <c r="AE67" s="25">
        <v>541.85831141868516</v>
      </c>
      <c r="AF67" s="26">
        <v>84.523941102032992</v>
      </c>
      <c r="AG67" s="7">
        <v>520</v>
      </c>
      <c r="AH67" s="1">
        <v>5.5</v>
      </c>
      <c r="AI67" s="1">
        <v>25.4</v>
      </c>
      <c r="AJ67" s="2">
        <v>-3.08</v>
      </c>
      <c r="AK67" s="1">
        <v>115</v>
      </c>
      <c r="AL67" s="1">
        <v>31.8</v>
      </c>
      <c r="AM67" s="1">
        <v>74.599999999999994</v>
      </c>
      <c r="AN67" s="1">
        <v>7.24</v>
      </c>
      <c r="AO67" s="1">
        <v>520</v>
      </c>
      <c r="AP67" s="1">
        <v>115</v>
      </c>
      <c r="AQ67" s="1">
        <v>100</v>
      </c>
      <c r="AR67" s="1">
        <v>122</v>
      </c>
      <c r="AS67" s="1">
        <v>8.5</v>
      </c>
      <c r="AT67" s="1">
        <v>5.5</v>
      </c>
      <c r="AU67" s="2">
        <v>0</v>
      </c>
      <c r="AV67" s="2">
        <v>0</v>
      </c>
      <c r="AW67" s="2">
        <v>2.4900000000000002</v>
      </c>
      <c r="AX67" s="1">
        <v>64</v>
      </c>
      <c r="AY67" s="1">
        <v>31.8</v>
      </c>
      <c r="AZ67" s="1">
        <v>3.9</v>
      </c>
      <c r="BA67" s="1">
        <v>11.4</v>
      </c>
      <c r="BB67" s="1">
        <v>2.9340000000000002</v>
      </c>
      <c r="BC67" s="1">
        <v>1.3149999999999999</v>
      </c>
      <c r="BD67" s="1">
        <v>1.516</v>
      </c>
      <c r="BE67" s="12">
        <v>30</v>
      </c>
      <c r="BF67" s="1">
        <v>5</v>
      </c>
      <c r="BG67" s="1">
        <v>21</v>
      </c>
      <c r="BH67" s="1">
        <v>4</v>
      </c>
      <c r="BI67" s="1">
        <v>83.25</v>
      </c>
      <c r="BJ67" s="1">
        <v>16.600000000000001</v>
      </c>
      <c r="BK67" s="1">
        <v>5.0140000000000002</v>
      </c>
      <c r="BL67" s="22">
        <v>1</v>
      </c>
    </row>
    <row r="68" spans="1:64" x14ac:dyDescent="0.25">
      <c r="A68" s="20">
        <v>64</v>
      </c>
      <c r="B68" s="22">
        <v>49</v>
      </c>
      <c r="C68" s="1">
        <v>67</v>
      </c>
      <c r="D68" s="2">
        <v>1.62</v>
      </c>
      <c r="E68" s="1">
        <v>25.529644871208653</v>
      </c>
      <c r="F68" s="1">
        <v>34.200000000000003</v>
      </c>
      <c r="G68" s="1">
        <v>23.4</v>
      </c>
      <c r="H68" s="23">
        <v>0</v>
      </c>
      <c r="I68" s="7">
        <v>101</v>
      </c>
      <c r="J68" s="1">
        <v>101</v>
      </c>
      <c r="K68" s="1">
        <v>87</v>
      </c>
      <c r="L68" s="23">
        <v>1.1609195402298851</v>
      </c>
      <c r="M68" s="20">
        <v>120</v>
      </c>
      <c r="N68" s="20">
        <v>79</v>
      </c>
      <c r="O68" s="22">
        <v>88</v>
      </c>
      <c r="P68" s="20">
        <v>16</v>
      </c>
      <c r="Q68" s="20">
        <v>120</v>
      </c>
      <c r="R68" s="20">
        <v>80</v>
      </c>
      <c r="S68" s="20">
        <v>99</v>
      </c>
      <c r="T68" s="22">
        <v>147</v>
      </c>
      <c r="U68" s="20">
        <v>22</v>
      </c>
      <c r="V68" s="20">
        <v>150</v>
      </c>
      <c r="W68" s="20">
        <v>90</v>
      </c>
      <c r="X68" s="20">
        <v>100</v>
      </c>
      <c r="Y68" s="43">
        <v>1.0101010101010102</v>
      </c>
      <c r="Z68" s="20">
        <v>2</v>
      </c>
      <c r="AA68" s="22">
        <v>0</v>
      </c>
      <c r="AB68" s="20">
        <v>2</v>
      </c>
      <c r="AC68" s="20">
        <v>2</v>
      </c>
      <c r="AD68" s="24">
        <v>495</v>
      </c>
      <c r="AE68" s="25">
        <v>549.57512947721386</v>
      </c>
      <c r="AF68" s="26">
        <v>90.069578015815836</v>
      </c>
      <c r="AG68" s="7">
        <v>428</v>
      </c>
      <c r="AH68" s="1">
        <v>6.6</v>
      </c>
      <c r="AI68" s="1">
        <v>35.700000000000003</v>
      </c>
      <c r="AJ68" s="2">
        <v>-3.78</v>
      </c>
      <c r="AK68" s="1">
        <v>140</v>
      </c>
      <c r="AL68" s="1">
        <v>27.5</v>
      </c>
      <c r="AM68" s="1">
        <v>64.3</v>
      </c>
      <c r="AN68" s="1">
        <v>9</v>
      </c>
      <c r="AO68" s="1">
        <v>428</v>
      </c>
      <c r="AP68" s="1">
        <v>140</v>
      </c>
      <c r="AQ68" s="1">
        <v>95</v>
      </c>
      <c r="AR68" s="1">
        <v>149</v>
      </c>
      <c r="AS68" s="1">
        <v>6.8</v>
      </c>
      <c r="AT68" s="1">
        <v>6.6</v>
      </c>
      <c r="AU68" s="2">
        <v>2</v>
      </c>
      <c r="AV68" s="2">
        <v>0.24</v>
      </c>
      <c r="AW68" s="2">
        <v>1.34</v>
      </c>
      <c r="AX68" s="1">
        <v>106</v>
      </c>
      <c r="AY68" s="1">
        <v>27.5</v>
      </c>
      <c r="AZ68" s="1">
        <v>4.7</v>
      </c>
      <c r="BA68" s="1">
        <v>8.4</v>
      </c>
      <c r="BB68" s="1">
        <v>1.8009999999999999</v>
      </c>
      <c r="BC68" s="1">
        <v>1.1990000000000001</v>
      </c>
      <c r="BD68" s="1">
        <v>1.1579999999999999</v>
      </c>
      <c r="BE68" s="12">
        <v>7</v>
      </c>
      <c r="BF68" s="1">
        <v>1</v>
      </c>
      <c r="BG68" s="1">
        <v>3</v>
      </c>
      <c r="BH68" s="1">
        <v>3</v>
      </c>
      <c r="BI68" s="1">
        <v>50.27</v>
      </c>
      <c r="BJ68" s="1">
        <v>49.66</v>
      </c>
      <c r="BK68" s="1">
        <v>1.012</v>
      </c>
      <c r="BL68" s="22">
        <v>1</v>
      </c>
    </row>
    <row r="69" spans="1:64" x14ac:dyDescent="0.25">
      <c r="A69" s="20">
        <v>65</v>
      </c>
      <c r="B69" s="22">
        <v>54</v>
      </c>
      <c r="C69" s="1">
        <v>84</v>
      </c>
      <c r="D69" s="2">
        <v>1.56</v>
      </c>
      <c r="E69" s="1">
        <v>34.516765285996051</v>
      </c>
      <c r="F69" s="1">
        <v>16.399999999999999</v>
      </c>
      <c r="G69" s="1">
        <v>15.4</v>
      </c>
      <c r="H69" s="23">
        <v>1.75</v>
      </c>
      <c r="I69" s="7">
        <v>110</v>
      </c>
      <c r="J69" s="1">
        <v>117</v>
      </c>
      <c r="K69" s="1">
        <v>131</v>
      </c>
      <c r="L69" s="23">
        <v>0.83969465648854957</v>
      </c>
      <c r="M69" s="20">
        <v>85</v>
      </c>
      <c r="N69" s="20">
        <v>33</v>
      </c>
      <c r="O69" s="22">
        <v>104</v>
      </c>
      <c r="P69" s="20">
        <v>20</v>
      </c>
      <c r="Q69" s="20">
        <v>140</v>
      </c>
      <c r="R69" s="20">
        <v>90</v>
      </c>
      <c r="S69" s="20">
        <v>99</v>
      </c>
      <c r="T69" s="22">
        <v>114</v>
      </c>
      <c r="U69" s="20">
        <v>20</v>
      </c>
      <c r="V69" s="20">
        <v>140</v>
      </c>
      <c r="W69" s="20">
        <v>90</v>
      </c>
      <c r="X69" s="20">
        <v>99</v>
      </c>
      <c r="Y69" s="43">
        <v>0</v>
      </c>
      <c r="Z69" s="20">
        <v>2</v>
      </c>
      <c r="AA69" s="22">
        <v>8</v>
      </c>
      <c r="AB69" s="20">
        <v>9</v>
      </c>
      <c r="AC69" s="20">
        <v>10</v>
      </c>
      <c r="AD69" s="24">
        <v>350</v>
      </c>
      <c r="AE69" s="25">
        <v>493.0253530571992</v>
      </c>
      <c r="AF69" s="26">
        <v>70.990264056338333</v>
      </c>
      <c r="AG69" s="7">
        <v>532</v>
      </c>
      <c r="AH69" s="1">
        <v>4.5999999999999996</v>
      </c>
      <c r="AI69" s="1">
        <v>28.2</v>
      </c>
      <c r="AJ69" s="2">
        <v>-2.99</v>
      </c>
      <c r="AK69" s="1">
        <v>113</v>
      </c>
      <c r="AL69" s="1">
        <v>45</v>
      </c>
      <c r="AM69" s="1">
        <v>71.8</v>
      </c>
      <c r="AN69" s="1">
        <v>9.16</v>
      </c>
      <c r="AO69" s="1">
        <v>532</v>
      </c>
      <c r="AP69" s="1">
        <v>113</v>
      </c>
      <c r="AQ69" s="1">
        <v>101</v>
      </c>
      <c r="AR69" s="1">
        <v>117</v>
      </c>
      <c r="AS69" s="1">
        <v>6.3</v>
      </c>
      <c r="AT69" s="1">
        <v>4.5999999999999996</v>
      </c>
      <c r="AU69" s="2">
        <v>0</v>
      </c>
      <c r="AV69" s="2">
        <v>0</v>
      </c>
      <c r="AW69" s="2">
        <v>2.27</v>
      </c>
      <c r="AX69" s="1">
        <v>37</v>
      </c>
      <c r="AY69" s="1">
        <v>45</v>
      </c>
      <c r="AZ69" s="1">
        <v>3.3</v>
      </c>
      <c r="BA69" s="1">
        <v>8.3000000000000007</v>
      </c>
      <c r="BB69" s="1">
        <v>2.544</v>
      </c>
      <c r="BC69" s="1">
        <v>1.4</v>
      </c>
      <c r="BD69" s="1">
        <v>1.714</v>
      </c>
      <c r="BE69" s="12">
        <v>37</v>
      </c>
      <c r="BF69" s="1">
        <v>1</v>
      </c>
      <c r="BG69" s="1">
        <v>30</v>
      </c>
      <c r="BH69" s="1">
        <v>6</v>
      </c>
      <c r="BI69" s="1">
        <v>83.3</v>
      </c>
      <c r="BJ69" s="1">
        <v>16.68</v>
      </c>
      <c r="BK69" s="1">
        <v>4.9950000000000001</v>
      </c>
      <c r="BL69" s="22">
        <v>1</v>
      </c>
    </row>
    <row r="70" spans="1:64" x14ac:dyDescent="0.25">
      <c r="A70" s="20">
        <v>66</v>
      </c>
      <c r="B70" s="22">
        <v>41</v>
      </c>
      <c r="C70" s="1">
        <v>56</v>
      </c>
      <c r="D70" s="2">
        <v>1.57</v>
      </c>
      <c r="E70" s="1">
        <v>22.718974400584202</v>
      </c>
      <c r="F70" s="1">
        <v>25.8</v>
      </c>
      <c r="G70" s="1">
        <v>17.600000000000001</v>
      </c>
      <c r="H70" s="23">
        <v>0.375</v>
      </c>
      <c r="I70" s="7">
        <v>65</v>
      </c>
      <c r="J70" s="1">
        <v>64</v>
      </c>
      <c r="K70" s="1">
        <v>77</v>
      </c>
      <c r="L70" s="23">
        <v>0.8441558441558441</v>
      </c>
      <c r="M70" s="20">
        <v>98</v>
      </c>
      <c r="N70" s="20">
        <v>44</v>
      </c>
      <c r="O70" s="22">
        <v>84</v>
      </c>
      <c r="P70" s="20">
        <v>20</v>
      </c>
      <c r="Q70" s="20">
        <v>120</v>
      </c>
      <c r="R70" s="20">
        <v>70</v>
      </c>
      <c r="S70" s="20">
        <v>99</v>
      </c>
      <c r="T70" s="22">
        <v>144</v>
      </c>
      <c r="U70" s="20">
        <v>24</v>
      </c>
      <c r="V70" s="20">
        <v>130</v>
      </c>
      <c r="W70" s="20">
        <v>80</v>
      </c>
      <c r="X70" s="20">
        <v>99</v>
      </c>
      <c r="Y70" s="43">
        <v>0</v>
      </c>
      <c r="Z70" s="20">
        <v>2</v>
      </c>
      <c r="AA70" s="22">
        <v>4</v>
      </c>
      <c r="AB70" s="20">
        <v>7</v>
      </c>
      <c r="AC70" s="20">
        <v>7</v>
      </c>
      <c r="AD70" s="24">
        <v>533</v>
      </c>
      <c r="AE70" s="25">
        <v>587.30309466915503</v>
      </c>
      <c r="AF70" s="26">
        <v>90.753821125402794</v>
      </c>
      <c r="AG70" s="7">
        <v>474</v>
      </c>
      <c r="AH70" s="1">
        <v>4.3</v>
      </c>
      <c r="AI70" s="1">
        <v>30.7</v>
      </c>
      <c r="AJ70" s="2">
        <v>-3.46</v>
      </c>
      <c r="AK70" s="1">
        <v>127</v>
      </c>
      <c r="AL70" s="1">
        <v>35.6</v>
      </c>
      <c r="AM70" s="1">
        <v>69.3</v>
      </c>
      <c r="AN70" s="1">
        <v>9.06</v>
      </c>
      <c r="AO70" s="1">
        <v>474</v>
      </c>
      <c r="AP70" s="1">
        <v>127</v>
      </c>
      <c r="AQ70" s="1">
        <v>89</v>
      </c>
      <c r="AR70" s="1">
        <v>144</v>
      </c>
      <c r="AS70" s="1">
        <v>5.4</v>
      </c>
      <c r="AT70" s="1">
        <v>4.3</v>
      </c>
      <c r="AU70" s="2">
        <v>1</v>
      </c>
      <c r="AV70" s="2">
        <v>0.13</v>
      </c>
      <c r="AW70" s="2">
        <v>1.8</v>
      </c>
      <c r="AX70" s="1">
        <v>43</v>
      </c>
      <c r="AY70" s="1">
        <v>35.6</v>
      </c>
      <c r="AZ70" s="1">
        <v>3.1</v>
      </c>
      <c r="BA70" s="1">
        <v>6.9</v>
      </c>
      <c r="BB70" s="1">
        <v>2.2610000000000001</v>
      </c>
      <c r="BC70" s="1">
        <v>1.3320000000000001</v>
      </c>
      <c r="BD70" s="1">
        <v>1.597</v>
      </c>
      <c r="BE70" s="12">
        <v>23</v>
      </c>
      <c r="BF70" s="1">
        <v>8</v>
      </c>
      <c r="BG70" s="1">
        <v>14</v>
      </c>
      <c r="BH70" s="1">
        <v>1</v>
      </c>
      <c r="BI70" s="1">
        <v>93.75</v>
      </c>
      <c r="BJ70" s="1">
        <v>6.15</v>
      </c>
      <c r="BK70" s="1">
        <v>15.246</v>
      </c>
      <c r="BL70" s="22">
        <v>1</v>
      </c>
    </row>
    <row r="71" spans="1:64" x14ac:dyDescent="0.25">
      <c r="A71" s="20">
        <v>67</v>
      </c>
      <c r="B71" s="22">
        <v>50</v>
      </c>
      <c r="C71" s="1">
        <v>52</v>
      </c>
      <c r="D71" s="2">
        <v>1.57</v>
      </c>
      <c r="E71" s="1">
        <v>21.096190514828187</v>
      </c>
      <c r="F71" s="1">
        <v>25.5</v>
      </c>
      <c r="G71" s="1">
        <v>30.2</v>
      </c>
      <c r="H71" s="23">
        <v>0.25</v>
      </c>
      <c r="I71" s="7">
        <v>35</v>
      </c>
      <c r="J71" s="1">
        <v>34</v>
      </c>
      <c r="K71" s="1">
        <v>15</v>
      </c>
      <c r="L71" s="23">
        <v>2.3333333333333335</v>
      </c>
      <c r="M71" s="20">
        <v>35</v>
      </c>
      <c r="N71" s="20">
        <v>17</v>
      </c>
      <c r="O71" s="22">
        <v>116</v>
      </c>
      <c r="P71" s="20">
        <v>24</v>
      </c>
      <c r="Q71" s="20">
        <v>100</v>
      </c>
      <c r="R71" s="20">
        <v>80</v>
      </c>
      <c r="S71" s="20">
        <v>94</v>
      </c>
      <c r="T71" s="22">
        <v>138</v>
      </c>
      <c r="U71" s="20">
        <v>22</v>
      </c>
      <c r="V71" s="20">
        <v>140</v>
      </c>
      <c r="W71" s="20">
        <v>80</v>
      </c>
      <c r="X71" s="20">
        <v>96</v>
      </c>
      <c r="Y71" s="43">
        <v>2.1276595744680851</v>
      </c>
      <c r="Z71" s="20">
        <v>2</v>
      </c>
      <c r="AA71" s="22">
        <v>1</v>
      </c>
      <c r="AB71" s="20">
        <v>2</v>
      </c>
      <c r="AC71" s="20">
        <v>3</v>
      </c>
      <c r="AD71" s="24">
        <v>382</v>
      </c>
      <c r="AE71" s="25">
        <v>568.4715521927867</v>
      </c>
      <c r="AF71" s="26">
        <v>67.197733734695603</v>
      </c>
      <c r="AG71" s="7">
        <v>459</v>
      </c>
      <c r="AH71" s="1">
        <v>10.3</v>
      </c>
      <c r="AI71" s="1">
        <v>43.7</v>
      </c>
      <c r="AJ71" s="2">
        <v>-3.35</v>
      </c>
      <c r="AK71" s="1">
        <v>131</v>
      </c>
      <c r="AL71" s="1">
        <v>19.899999999999999</v>
      </c>
      <c r="AM71" s="1">
        <v>56.3</v>
      </c>
      <c r="AN71" s="1">
        <v>6.63</v>
      </c>
      <c r="AO71" s="1">
        <v>459</v>
      </c>
      <c r="AP71" s="1">
        <v>131</v>
      </c>
      <c r="AQ71" s="1">
        <v>114</v>
      </c>
      <c r="AR71" s="1">
        <v>144</v>
      </c>
      <c r="AS71" s="1">
        <v>8.4</v>
      </c>
      <c r="AT71" s="1">
        <v>10.3</v>
      </c>
      <c r="AU71" s="2">
        <v>3</v>
      </c>
      <c r="AV71" s="2">
        <v>0.38</v>
      </c>
      <c r="AW71" s="2">
        <v>1.78</v>
      </c>
      <c r="AX71" s="1">
        <v>161</v>
      </c>
      <c r="AY71" s="1">
        <v>19.899999999999999</v>
      </c>
      <c r="AZ71" s="1">
        <v>7.3</v>
      </c>
      <c r="BA71" s="1">
        <v>9.4</v>
      </c>
      <c r="BB71" s="1">
        <v>1.29</v>
      </c>
      <c r="BC71" s="1">
        <v>1.0069999999999999</v>
      </c>
      <c r="BD71" s="1">
        <v>0.89400000000000002</v>
      </c>
      <c r="BE71" s="12">
        <v>51</v>
      </c>
      <c r="BF71" s="1">
        <v>3</v>
      </c>
      <c r="BG71" s="1">
        <v>20</v>
      </c>
      <c r="BH71" s="1">
        <v>28</v>
      </c>
      <c r="BI71" s="1">
        <v>40.82</v>
      </c>
      <c r="BJ71" s="1">
        <v>58.72</v>
      </c>
      <c r="BK71" s="1">
        <v>51</v>
      </c>
      <c r="BL71" s="22">
        <v>1</v>
      </c>
    </row>
    <row r="72" spans="1:64" x14ac:dyDescent="0.25">
      <c r="A72" s="20">
        <v>68</v>
      </c>
      <c r="B72" s="22">
        <v>50</v>
      </c>
      <c r="C72" s="1">
        <v>63</v>
      </c>
      <c r="D72" s="32">
        <v>1.58</v>
      </c>
      <c r="E72" s="33">
        <v>25.236340330075304</v>
      </c>
      <c r="F72" s="1">
        <v>15.6</v>
      </c>
      <c r="G72" s="1">
        <v>19.8</v>
      </c>
      <c r="H72" s="23">
        <v>1</v>
      </c>
      <c r="I72" s="7">
        <v>68</v>
      </c>
      <c r="J72" s="1">
        <v>69</v>
      </c>
      <c r="K72" s="1">
        <v>67</v>
      </c>
      <c r="L72" s="23">
        <v>1.0149253731343284</v>
      </c>
      <c r="M72" s="20">
        <v>56</v>
      </c>
      <c r="N72" s="20">
        <v>38</v>
      </c>
      <c r="O72" s="22">
        <v>89</v>
      </c>
      <c r="P72" s="20">
        <v>28</v>
      </c>
      <c r="Q72" s="20">
        <v>120</v>
      </c>
      <c r="R72" s="20">
        <v>80</v>
      </c>
      <c r="S72" s="20">
        <v>97</v>
      </c>
      <c r="T72" s="22">
        <v>117</v>
      </c>
      <c r="U72" s="20">
        <v>22</v>
      </c>
      <c r="V72" s="20">
        <v>130</v>
      </c>
      <c r="W72" s="20">
        <v>80</v>
      </c>
      <c r="X72" s="20">
        <v>92</v>
      </c>
      <c r="Y72" s="43">
        <v>-5.1546391752577314</v>
      </c>
      <c r="Z72" s="20">
        <v>1</v>
      </c>
      <c r="AA72" s="22">
        <v>2</v>
      </c>
      <c r="AB72" s="20">
        <v>6</v>
      </c>
      <c r="AC72" s="20">
        <v>7</v>
      </c>
      <c r="AD72" s="24">
        <v>498</v>
      </c>
      <c r="AE72" s="25">
        <v>548.30902259253332</v>
      </c>
      <c r="AF72" s="26">
        <v>79.66502073565762</v>
      </c>
      <c r="AG72" s="7">
        <v>500</v>
      </c>
      <c r="AH72" s="1">
        <v>4.4000000000000004</v>
      </c>
      <c r="AI72" s="1">
        <v>30.1</v>
      </c>
      <c r="AJ72" s="2">
        <v>-3.23</v>
      </c>
      <c r="AK72" s="1">
        <v>120</v>
      </c>
      <c r="AL72" s="1">
        <v>47.3</v>
      </c>
      <c r="AM72" s="1">
        <v>69.900000000000006</v>
      </c>
      <c r="AN72" s="1">
        <v>10.34</v>
      </c>
      <c r="AO72" s="1">
        <v>500</v>
      </c>
      <c r="AP72" s="1">
        <v>120</v>
      </c>
      <c r="AQ72" s="1">
        <v>99</v>
      </c>
      <c r="AR72" s="1">
        <v>131</v>
      </c>
      <c r="AS72" s="1">
        <v>5.6</v>
      </c>
      <c r="AT72" s="1">
        <v>4.4000000000000004</v>
      </c>
      <c r="AU72" s="2">
        <v>0</v>
      </c>
      <c r="AV72" s="2">
        <v>0</v>
      </c>
      <c r="AW72" s="2">
        <v>2.2200000000000002</v>
      </c>
      <c r="AX72" s="1">
        <v>33</v>
      </c>
      <c r="AY72" s="1">
        <v>47.3</v>
      </c>
      <c r="AZ72" s="1">
        <v>3.1</v>
      </c>
      <c r="BA72" s="1">
        <v>7.2</v>
      </c>
      <c r="BB72" s="1">
        <v>2.3239999999999998</v>
      </c>
      <c r="BC72" s="1">
        <v>1.353</v>
      </c>
      <c r="BD72" s="1">
        <v>1.6060000000000001</v>
      </c>
      <c r="BE72" s="12">
        <v>16</v>
      </c>
      <c r="BF72" s="1">
        <v>2</v>
      </c>
      <c r="BG72" s="1">
        <v>12</v>
      </c>
      <c r="BH72" s="1">
        <v>2</v>
      </c>
      <c r="BI72" s="1">
        <v>86.5</v>
      </c>
      <c r="BJ72" s="1">
        <v>13.48</v>
      </c>
      <c r="BK72" s="1">
        <v>6.415</v>
      </c>
      <c r="BL72" s="22">
        <v>1</v>
      </c>
    </row>
    <row r="73" spans="1:64" s="41" customFormat="1" ht="12.75" thickBot="1" x14ac:dyDescent="0.3">
      <c r="A73" s="34">
        <v>69</v>
      </c>
      <c r="B73" s="35">
        <v>59</v>
      </c>
      <c r="C73" s="10">
        <v>65</v>
      </c>
      <c r="D73" s="36">
        <v>1.56</v>
      </c>
      <c r="E73" s="10">
        <v>26.709401709401707</v>
      </c>
      <c r="F73" s="10">
        <v>20.2</v>
      </c>
      <c r="G73" s="10">
        <v>15.1</v>
      </c>
      <c r="H73" s="37">
        <v>0.625</v>
      </c>
      <c r="I73" s="9">
        <v>93</v>
      </c>
      <c r="J73" s="10">
        <v>103</v>
      </c>
      <c r="K73" s="10">
        <v>73</v>
      </c>
      <c r="L73" s="37">
        <v>1.273972602739726</v>
      </c>
      <c r="M73" s="34">
        <v>93</v>
      </c>
      <c r="N73" s="34">
        <v>39</v>
      </c>
      <c r="O73" s="35">
        <v>55</v>
      </c>
      <c r="P73" s="34">
        <v>24</v>
      </c>
      <c r="Q73" s="34">
        <v>120</v>
      </c>
      <c r="R73" s="34">
        <v>80</v>
      </c>
      <c r="S73" s="34">
        <v>99</v>
      </c>
      <c r="T73" s="35">
        <v>122</v>
      </c>
      <c r="U73" s="34">
        <v>32</v>
      </c>
      <c r="V73" s="34">
        <v>110</v>
      </c>
      <c r="W73" s="34">
        <v>80</v>
      </c>
      <c r="X73" s="34">
        <v>98</v>
      </c>
      <c r="Y73" s="43">
        <v>-1.0101010101010102</v>
      </c>
      <c r="Z73" s="20">
        <v>2</v>
      </c>
      <c r="AA73" s="35">
        <v>2</v>
      </c>
      <c r="AB73" s="34">
        <v>2</v>
      </c>
      <c r="AC73" s="34">
        <v>2</v>
      </c>
      <c r="AD73" s="38">
        <v>482</v>
      </c>
      <c r="AE73" s="39">
        <v>519.98971367521381</v>
      </c>
      <c r="AF73" s="40">
        <v>92.694141311621749</v>
      </c>
      <c r="AG73" s="9">
        <v>519</v>
      </c>
      <c r="AH73" s="10">
        <v>17.2</v>
      </c>
      <c r="AI73" s="10">
        <v>48.5</v>
      </c>
      <c r="AJ73" s="36">
        <v>-2.56</v>
      </c>
      <c r="AK73" s="10">
        <v>116</v>
      </c>
      <c r="AL73" s="10">
        <v>15.5</v>
      </c>
      <c r="AM73" s="10">
        <v>51.5</v>
      </c>
      <c r="AN73" s="10">
        <v>4.33</v>
      </c>
      <c r="AO73" s="10">
        <v>519</v>
      </c>
      <c r="AP73" s="10">
        <v>116</v>
      </c>
      <c r="AQ73" s="10">
        <v>75</v>
      </c>
      <c r="AR73" s="10">
        <v>127</v>
      </c>
      <c r="AS73" s="10">
        <v>12.6</v>
      </c>
      <c r="AT73" s="10">
        <v>17.2</v>
      </c>
      <c r="AU73" s="36">
        <v>8</v>
      </c>
      <c r="AV73" s="36">
        <v>1.1599999999999999</v>
      </c>
      <c r="AW73" s="36">
        <v>1.77</v>
      </c>
      <c r="AX73" s="10">
        <v>186</v>
      </c>
      <c r="AY73" s="10">
        <v>15.5</v>
      </c>
      <c r="AZ73" s="10">
        <v>12.2</v>
      </c>
      <c r="BA73" s="10">
        <v>12.9</v>
      </c>
      <c r="BB73" s="10">
        <v>1.0620000000000001</v>
      </c>
      <c r="BC73" s="10">
        <v>0.79100000000000004</v>
      </c>
      <c r="BD73" s="10">
        <v>0.73499999999999999</v>
      </c>
      <c r="BE73" s="13">
        <v>72</v>
      </c>
      <c r="BF73" s="10">
        <v>3</v>
      </c>
      <c r="BG73" s="10">
        <v>23</v>
      </c>
      <c r="BH73" s="10">
        <v>45</v>
      </c>
      <c r="BI73" s="10">
        <v>33.159999999999997</v>
      </c>
      <c r="BJ73" s="10">
        <v>65.290000000000006</v>
      </c>
      <c r="BK73" s="10">
        <v>0.50800000000000001</v>
      </c>
      <c r="BL73" s="35">
        <v>1</v>
      </c>
    </row>
  </sheetData>
  <autoFilter ref="A4:BL73" xr:uid="{00000000-0009-0000-0000-000002000000}"/>
  <mergeCells count="7">
    <mergeCell ref="I3:N3"/>
    <mergeCell ref="B3:H3"/>
    <mergeCell ref="AA3:AC3"/>
    <mergeCell ref="AD3:AF3"/>
    <mergeCell ref="AG3:BK3"/>
    <mergeCell ref="T3:X3"/>
    <mergeCell ref="O3:S3"/>
  </mergeCells>
  <phoneticPr fontId="1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9"/>
  <sheetViews>
    <sheetView showGridLines="0" tabSelected="1" workbookViewId="0">
      <selection activeCell="O7" sqref="O7"/>
    </sheetView>
  </sheetViews>
  <sheetFormatPr defaultColWidth="8.85546875" defaultRowHeight="12" x14ac:dyDescent="0.25"/>
  <cols>
    <col min="1" max="1" width="24.5703125" style="52" customWidth="1"/>
    <col min="2" max="4" width="5.7109375" style="17" customWidth="1"/>
    <col min="5" max="5" width="5.7109375" style="81" customWidth="1"/>
    <col min="6" max="6" width="0.85546875" style="52" customWidth="1"/>
    <col min="7" max="7" width="5.85546875" style="52" customWidth="1"/>
    <col min="8" max="16384" width="8.85546875" style="17"/>
  </cols>
  <sheetData>
    <row r="1" spans="1:7" ht="6" customHeight="1" thickBot="1" x14ac:dyDescent="0.3">
      <c r="A1" s="53"/>
      <c r="B1" s="55"/>
      <c r="C1" s="55"/>
      <c r="D1" s="71"/>
      <c r="E1" s="72"/>
      <c r="F1" s="105"/>
      <c r="G1" s="73"/>
    </row>
    <row r="2" spans="1:7" ht="19.899999999999999" customHeight="1" thickBot="1" x14ac:dyDescent="0.3">
      <c r="A2" s="60" t="s">
        <v>152</v>
      </c>
      <c r="B2" s="56" t="s">
        <v>153</v>
      </c>
      <c r="C2" s="56"/>
      <c r="D2" s="74"/>
      <c r="E2" s="204"/>
      <c r="F2" s="204"/>
      <c r="G2" s="204"/>
    </row>
    <row r="3" spans="1:7" ht="19.899999999999999" customHeight="1" thickTop="1" x14ac:dyDescent="0.25">
      <c r="A3" s="63" t="s">
        <v>160</v>
      </c>
      <c r="B3" s="64"/>
      <c r="C3" s="64"/>
      <c r="D3" s="75"/>
      <c r="E3" s="76"/>
      <c r="F3" s="106"/>
      <c r="G3" s="77"/>
    </row>
    <row r="4" spans="1:7" ht="19.899999999999999" customHeight="1" x14ac:dyDescent="0.25">
      <c r="A4" s="52" t="s">
        <v>43</v>
      </c>
      <c r="B4" s="58">
        <v>69</v>
      </c>
      <c r="C4" s="58"/>
      <c r="D4" s="78"/>
      <c r="E4" s="85">
        <v>49.420289855072461</v>
      </c>
      <c r="F4" s="116" t="s">
        <v>171</v>
      </c>
      <c r="G4" s="86">
        <v>13.054642848992403</v>
      </c>
    </row>
    <row r="5" spans="1:7" ht="19.899999999999999" customHeight="1" x14ac:dyDescent="0.25">
      <c r="A5" s="52" t="s">
        <v>0</v>
      </c>
      <c r="B5" s="58">
        <v>69</v>
      </c>
      <c r="C5" s="58"/>
      <c r="D5" s="78"/>
      <c r="E5" s="85">
        <v>63.952173913043474</v>
      </c>
      <c r="F5" s="116" t="s">
        <v>171</v>
      </c>
      <c r="G5" s="86">
        <v>13.380040102547527</v>
      </c>
    </row>
    <row r="6" spans="1:7" ht="19.899999999999999" customHeight="1" x14ac:dyDescent="0.25">
      <c r="A6" s="52" t="s">
        <v>1</v>
      </c>
      <c r="B6" s="58">
        <v>69</v>
      </c>
      <c r="C6" s="58"/>
      <c r="D6" s="78"/>
      <c r="E6" s="88">
        <v>1.5843478260869563</v>
      </c>
      <c r="F6" s="116" t="s">
        <v>171</v>
      </c>
      <c r="G6" s="89">
        <v>6.189360560124324E-2</v>
      </c>
    </row>
    <row r="7" spans="1:7" ht="19.899999999999999" customHeight="1" x14ac:dyDescent="0.25">
      <c r="A7" s="52" t="s">
        <v>148</v>
      </c>
      <c r="B7" s="58">
        <v>69</v>
      </c>
      <c r="C7" s="58"/>
      <c r="D7" s="78"/>
      <c r="E7" s="85">
        <v>25.449275362318836</v>
      </c>
      <c r="F7" s="116" t="s">
        <v>171</v>
      </c>
      <c r="G7" s="86">
        <v>4.8923596853366771</v>
      </c>
    </row>
    <row r="8" spans="1:7" ht="19.899999999999999" customHeight="1" x14ac:dyDescent="0.25">
      <c r="A8" s="52" t="s">
        <v>34</v>
      </c>
      <c r="B8" s="58">
        <v>67</v>
      </c>
      <c r="C8" s="58"/>
      <c r="D8" s="78"/>
      <c r="E8" s="85">
        <v>21.402985074626866</v>
      </c>
      <c r="F8" s="116" t="s">
        <v>171</v>
      </c>
      <c r="G8" s="86">
        <v>7.0368288775050525</v>
      </c>
    </row>
    <row r="9" spans="1:7" ht="19.899999999999999" customHeight="1" x14ac:dyDescent="0.25">
      <c r="A9" s="52" t="s">
        <v>150</v>
      </c>
      <c r="B9" s="58">
        <v>67</v>
      </c>
      <c r="C9" s="58"/>
      <c r="D9" s="78">
        <v>19.899999999999999</v>
      </c>
      <c r="E9" s="87">
        <v>14</v>
      </c>
      <c r="F9" s="109" t="s">
        <v>151</v>
      </c>
      <c r="G9" s="84">
        <v>24.4</v>
      </c>
    </row>
    <row r="10" spans="1:7" ht="19.899999999999999" customHeight="1" x14ac:dyDescent="0.25">
      <c r="A10" s="52" t="s">
        <v>35</v>
      </c>
      <c r="B10" s="58">
        <v>69</v>
      </c>
      <c r="C10" s="58"/>
      <c r="D10" s="68">
        <v>0.875</v>
      </c>
      <c r="E10" s="88">
        <v>0.3125</v>
      </c>
      <c r="F10" s="108" t="s">
        <v>151</v>
      </c>
      <c r="G10" s="89">
        <v>1.5</v>
      </c>
    </row>
    <row r="11" spans="1:7" ht="19.899999999999999" customHeight="1" x14ac:dyDescent="0.25">
      <c r="A11" s="63" t="s">
        <v>161</v>
      </c>
      <c r="B11" s="65"/>
      <c r="C11" s="65"/>
      <c r="D11" s="75"/>
      <c r="E11" s="76"/>
      <c r="F11" s="106"/>
      <c r="G11" s="77"/>
    </row>
    <row r="12" spans="1:7" ht="19.899999999999999" customHeight="1" x14ac:dyDescent="0.25">
      <c r="A12" s="52" t="s">
        <v>36</v>
      </c>
      <c r="B12" s="58">
        <v>68</v>
      </c>
      <c r="C12" s="58"/>
      <c r="D12" s="78"/>
      <c r="E12" s="85">
        <v>75.629411764705878</v>
      </c>
      <c r="F12" s="116" t="s">
        <v>171</v>
      </c>
      <c r="G12" s="86">
        <v>19.99890339399257</v>
      </c>
    </row>
    <row r="13" spans="1:7" ht="19.899999999999999" customHeight="1" x14ac:dyDescent="0.25">
      <c r="A13" s="52" t="s">
        <v>37</v>
      </c>
      <c r="B13" s="58">
        <v>68</v>
      </c>
      <c r="C13" s="58"/>
      <c r="D13" s="78"/>
      <c r="E13" s="85">
        <v>75.883823529411771</v>
      </c>
      <c r="F13" s="116" t="s">
        <v>171</v>
      </c>
      <c r="G13" s="86">
        <v>20.227560703853907</v>
      </c>
    </row>
    <row r="14" spans="1:7" ht="19.899999999999999" customHeight="1" x14ac:dyDescent="0.25">
      <c r="A14" s="52" t="s">
        <v>38</v>
      </c>
      <c r="B14" s="58">
        <v>68</v>
      </c>
      <c r="C14" s="58"/>
      <c r="D14" s="78"/>
      <c r="E14" s="85">
        <v>81.57352941176471</v>
      </c>
      <c r="F14" s="116" t="s">
        <v>171</v>
      </c>
      <c r="G14" s="86">
        <v>29.584342458479867</v>
      </c>
    </row>
    <row r="15" spans="1:7" ht="19.899999999999999" customHeight="1" x14ac:dyDescent="0.25">
      <c r="A15" s="52" t="s">
        <v>39</v>
      </c>
      <c r="B15" s="58">
        <v>68</v>
      </c>
      <c r="C15" s="58"/>
      <c r="D15" s="68"/>
      <c r="E15" s="88">
        <v>1.0446367647058823</v>
      </c>
      <c r="F15" s="116" t="s">
        <v>171</v>
      </c>
      <c r="G15" s="89">
        <v>0.44951579784116558</v>
      </c>
    </row>
    <row r="16" spans="1:7" ht="19.899999999999999" customHeight="1" x14ac:dyDescent="0.25">
      <c r="A16" s="52" t="s">
        <v>40</v>
      </c>
      <c r="B16" s="58">
        <v>66</v>
      </c>
      <c r="C16" s="58"/>
      <c r="D16" s="78"/>
      <c r="E16" s="85">
        <v>64.257575757575751</v>
      </c>
      <c r="F16" s="116" t="s">
        <v>171</v>
      </c>
      <c r="G16" s="86">
        <v>26.209986708569751</v>
      </c>
    </row>
    <row r="17" spans="1:7" ht="19.899999999999999" customHeight="1" thickBot="1" x14ac:dyDescent="0.3">
      <c r="A17" s="53" t="s">
        <v>41</v>
      </c>
      <c r="B17" s="90">
        <v>66</v>
      </c>
      <c r="C17" s="90"/>
      <c r="D17" s="92"/>
      <c r="E17" s="93">
        <v>45.984848484848484</v>
      </c>
      <c r="F17" s="179" t="s">
        <v>171</v>
      </c>
      <c r="G17" s="94">
        <v>18.066962985381675</v>
      </c>
    </row>
    <row r="18" spans="1:7" s="117" customFormat="1" ht="23.25" customHeight="1" x14ac:dyDescent="0.25">
      <c r="A18" s="205" t="s">
        <v>193</v>
      </c>
      <c r="B18" s="205"/>
      <c r="C18" s="205"/>
      <c r="D18" s="205"/>
      <c r="E18" s="205"/>
      <c r="F18" s="205"/>
      <c r="G18" s="205"/>
    </row>
    <row r="19" spans="1:7" ht="19.899999999999999" customHeight="1" x14ac:dyDescent="0.25">
      <c r="B19" s="58"/>
      <c r="C19" s="58"/>
      <c r="D19" s="78"/>
      <c r="E19" s="85"/>
      <c r="F19" s="116"/>
      <c r="G19" s="86"/>
    </row>
    <row r="20" spans="1:7" ht="6" customHeight="1" thickBot="1" x14ac:dyDescent="0.3">
      <c r="A20" s="53"/>
      <c r="B20" s="55"/>
      <c r="C20" s="55"/>
      <c r="D20" s="71"/>
      <c r="E20" s="72"/>
      <c r="F20" s="105"/>
      <c r="G20" s="73"/>
    </row>
    <row r="21" spans="1:7" ht="19.899999999999999" customHeight="1" thickBot="1" x14ac:dyDescent="0.3">
      <c r="A21" s="60" t="s">
        <v>152</v>
      </c>
      <c r="B21" s="56" t="s">
        <v>153</v>
      </c>
      <c r="C21" s="56"/>
      <c r="D21" s="74"/>
      <c r="E21" s="204"/>
      <c r="F21" s="204"/>
      <c r="G21" s="204"/>
    </row>
    <row r="22" spans="1:7" ht="19.899999999999999" customHeight="1" thickTop="1" x14ac:dyDescent="0.25">
      <c r="A22" s="63" t="s">
        <v>169</v>
      </c>
      <c r="B22" s="65"/>
      <c r="C22" s="65"/>
      <c r="D22" s="75"/>
      <c r="E22" s="76"/>
      <c r="F22" s="106"/>
      <c r="G22" s="77"/>
    </row>
    <row r="23" spans="1:7" ht="19.899999999999999" customHeight="1" x14ac:dyDescent="0.25">
      <c r="A23" s="52" t="s">
        <v>172</v>
      </c>
      <c r="B23" s="58">
        <v>69</v>
      </c>
      <c r="C23" s="58"/>
      <c r="D23" s="78">
        <v>80</v>
      </c>
      <c r="E23" s="79">
        <v>71</v>
      </c>
      <c r="F23" s="107" t="s">
        <v>151</v>
      </c>
      <c r="G23" s="84">
        <v>92.5</v>
      </c>
    </row>
    <row r="24" spans="1:7" ht="19.899999999999999" customHeight="1" x14ac:dyDescent="0.25">
      <c r="A24" s="52" t="s">
        <v>173</v>
      </c>
      <c r="B24" s="58">
        <v>68</v>
      </c>
      <c r="C24" s="58"/>
      <c r="D24" s="78">
        <v>20</v>
      </c>
      <c r="E24" s="79">
        <v>18.5</v>
      </c>
      <c r="F24" s="107" t="s">
        <v>151</v>
      </c>
      <c r="G24" s="80">
        <v>24</v>
      </c>
    </row>
    <row r="25" spans="1:7" ht="19.899999999999999" customHeight="1" x14ac:dyDescent="0.25">
      <c r="A25" s="52" t="s">
        <v>174</v>
      </c>
      <c r="B25" s="58">
        <v>69</v>
      </c>
      <c r="C25" s="58"/>
      <c r="D25" s="78">
        <v>120</v>
      </c>
      <c r="E25" s="79">
        <v>120</v>
      </c>
      <c r="F25" s="107" t="s">
        <v>151</v>
      </c>
      <c r="G25" s="80">
        <v>130</v>
      </c>
    </row>
    <row r="26" spans="1:7" ht="19.899999999999999" customHeight="1" x14ac:dyDescent="0.25">
      <c r="A26" s="52" t="s">
        <v>175</v>
      </c>
      <c r="B26" s="58">
        <v>69</v>
      </c>
      <c r="C26" s="58"/>
      <c r="D26" s="78">
        <v>80</v>
      </c>
      <c r="E26" s="79">
        <v>70</v>
      </c>
      <c r="F26" s="107" t="s">
        <v>151</v>
      </c>
      <c r="G26" s="80">
        <v>80</v>
      </c>
    </row>
    <row r="27" spans="1:7" ht="19.899999999999999" customHeight="1" x14ac:dyDescent="0.25">
      <c r="A27" s="52" t="s">
        <v>176</v>
      </c>
      <c r="B27" s="58">
        <v>51</v>
      </c>
      <c r="C27" s="58"/>
      <c r="D27" s="78">
        <v>98</v>
      </c>
      <c r="E27" s="79">
        <v>95</v>
      </c>
      <c r="F27" s="107" t="s">
        <v>151</v>
      </c>
      <c r="G27" s="80">
        <v>99</v>
      </c>
    </row>
    <row r="28" spans="1:7" ht="19.899999999999999" customHeight="1" x14ac:dyDescent="0.25">
      <c r="A28" s="63" t="s">
        <v>170</v>
      </c>
      <c r="B28" s="65"/>
      <c r="C28" s="65"/>
      <c r="D28" s="75"/>
      <c r="E28" s="76"/>
      <c r="F28" s="106"/>
      <c r="G28" s="77"/>
    </row>
    <row r="29" spans="1:7" ht="19.899999999999999" customHeight="1" x14ac:dyDescent="0.25">
      <c r="A29" s="52" t="s">
        <v>172</v>
      </c>
      <c r="B29" s="58">
        <v>69</v>
      </c>
      <c r="C29" s="58"/>
      <c r="D29" s="78">
        <v>117</v>
      </c>
      <c r="E29" s="79">
        <v>102</v>
      </c>
      <c r="F29" s="107" t="s">
        <v>151</v>
      </c>
      <c r="G29" s="80">
        <v>132</v>
      </c>
    </row>
    <row r="30" spans="1:7" ht="19.899999999999999" customHeight="1" x14ac:dyDescent="0.25">
      <c r="A30" s="52" t="s">
        <v>173</v>
      </c>
      <c r="B30" s="58">
        <v>69</v>
      </c>
      <c r="C30" s="58"/>
      <c r="D30" s="78">
        <v>28</v>
      </c>
      <c r="E30" s="79">
        <v>24</v>
      </c>
      <c r="F30" s="107" t="s">
        <v>151</v>
      </c>
      <c r="G30" s="80">
        <v>32</v>
      </c>
    </row>
    <row r="31" spans="1:7" ht="19.899999999999999" customHeight="1" x14ac:dyDescent="0.25">
      <c r="A31" s="52" t="s">
        <v>174</v>
      </c>
      <c r="B31" s="58">
        <v>69</v>
      </c>
      <c r="C31" s="58"/>
      <c r="D31" s="78">
        <v>130</v>
      </c>
      <c r="E31" s="79">
        <v>130</v>
      </c>
      <c r="F31" s="107" t="s">
        <v>151</v>
      </c>
      <c r="G31" s="80">
        <v>140</v>
      </c>
    </row>
    <row r="32" spans="1:7" ht="19.899999999999999" customHeight="1" x14ac:dyDescent="0.25">
      <c r="A32" s="52" t="s">
        <v>175</v>
      </c>
      <c r="B32" s="58">
        <v>69</v>
      </c>
      <c r="C32" s="58"/>
      <c r="D32" s="78">
        <v>80</v>
      </c>
      <c r="E32" s="79">
        <v>70</v>
      </c>
      <c r="F32" s="107" t="s">
        <v>151</v>
      </c>
      <c r="G32" s="80">
        <v>90</v>
      </c>
    </row>
    <row r="33" spans="1:7" ht="19.899999999999999" customHeight="1" x14ac:dyDescent="0.25">
      <c r="A33" s="95" t="s">
        <v>176</v>
      </c>
      <c r="B33" s="96">
        <v>51</v>
      </c>
      <c r="C33" s="96"/>
      <c r="D33" s="98">
        <v>97</v>
      </c>
      <c r="E33" s="99">
        <v>94</v>
      </c>
      <c r="F33" s="110" t="s">
        <v>151</v>
      </c>
      <c r="G33" s="100">
        <v>99</v>
      </c>
    </row>
    <row r="34" spans="1:7" ht="19.899999999999999" customHeight="1" x14ac:dyDescent="0.25">
      <c r="A34" s="52" t="s">
        <v>178</v>
      </c>
      <c r="B34" s="58">
        <v>51</v>
      </c>
      <c r="C34" s="58"/>
      <c r="D34" s="78">
        <v>0</v>
      </c>
      <c r="E34" s="85">
        <v>-1.03</v>
      </c>
      <c r="F34" s="111" t="s">
        <v>151</v>
      </c>
      <c r="G34" s="86">
        <v>2.04</v>
      </c>
    </row>
    <row r="35" spans="1:7" ht="19.899999999999999" customHeight="1" x14ac:dyDescent="0.25">
      <c r="A35" s="52" t="s">
        <v>177</v>
      </c>
      <c r="B35" s="58">
        <v>51</v>
      </c>
      <c r="C35" s="58"/>
      <c r="D35" s="78">
        <v>7</v>
      </c>
      <c r="E35" s="206">
        <v>0.10100000000000001</v>
      </c>
      <c r="F35" s="206"/>
      <c r="G35" s="206"/>
    </row>
    <row r="36" spans="1:7" ht="19.899999999999999" customHeight="1" x14ac:dyDescent="0.25">
      <c r="A36" s="63" t="s">
        <v>162</v>
      </c>
      <c r="B36" s="65"/>
      <c r="C36" s="65"/>
      <c r="D36" s="75"/>
      <c r="E36" s="76"/>
      <c r="F36" s="106"/>
      <c r="G36" s="77"/>
    </row>
    <row r="37" spans="1:7" ht="19.899999999999999" customHeight="1" x14ac:dyDescent="0.25">
      <c r="A37" s="52" t="s">
        <v>2</v>
      </c>
      <c r="B37" s="58">
        <v>68</v>
      </c>
      <c r="C37" s="58"/>
      <c r="D37" s="78">
        <v>2</v>
      </c>
      <c r="E37" s="79">
        <v>1</v>
      </c>
      <c r="F37" s="107" t="s">
        <v>151</v>
      </c>
      <c r="G37" s="80">
        <v>4</v>
      </c>
    </row>
    <row r="38" spans="1:7" ht="19.899999999999999" customHeight="1" x14ac:dyDescent="0.25">
      <c r="A38" s="52" t="s">
        <v>3</v>
      </c>
      <c r="B38" s="58">
        <v>68</v>
      </c>
      <c r="C38" s="58"/>
      <c r="D38" s="78">
        <v>4</v>
      </c>
      <c r="E38" s="79">
        <v>2</v>
      </c>
      <c r="F38" s="107" t="s">
        <v>151</v>
      </c>
      <c r="G38" s="80">
        <v>6</v>
      </c>
    </row>
    <row r="39" spans="1:7" ht="19.899999999999999" customHeight="1" x14ac:dyDescent="0.25">
      <c r="A39" s="52" t="s">
        <v>4</v>
      </c>
      <c r="B39" s="58">
        <v>68</v>
      </c>
      <c r="C39" s="58"/>
      <c r="D39" s="78">
        <v>4</v>
      </c>
      <c r="E39" s="79">
        <v>2</v>
      </c>
      <c r="F39" s="107" t="s">
        <v>151</v>
      </c>
      <c r="G39" s="80">
        <v>6</v>
      </c>
    </row>
    <row r="40" spans="1:7" ht="19.899999999999999" customHeight="1" x14ac:dyDescent="0.25">
      <c r="A40" s="63" t="s">
        <v>163</v>
      </c>
      <c r="B40" s="65"/>
      <c r="C40" s="65"/>
      <c r="D40" s="75"/>
      <c r="E40" s="76"/>
      <c r="F40" s="106"/>
      <c r="G40" s="77"/>
    </row>
    <row r="41" spans="1:7" ht="19.899999999999999" customHeight="1" x14ac:dyDescent="0.25">
      <c r="A41" s="61" t="s">
        <v>64</v>
      </c>
      <c r="B41" s="62">
        <v>69</v>
      </c>
      <c r="C41" s="62"/>
      <c r="D41" s="102"/>
      <c r="E41" s="103">
        <v>446.78260869565219</v>
      </c>
      <c r="F41" s="116" t="s">
        <v>171</v>
      </c>
      <c r="G41" s="104">
        <v>78.123369548203797</v>
      </c>
    </row>
    <row r="42" spans="1:7" ht="19.899999999999999" customHeight="1" x14ac:dyDescent="0.25">
      <c r="A42" s="52" t="s">
        <v>167</v>
      </c>
      <c r="B42" s="58">
        <v>69</v>
      </c>
      <c r="C42" s="58"/>
      <c r="D42" s="78"/>
      <c r="E42" s="87">
        <v>554.5797101449275</v>
      </c>
      <c r="F42" s="116" t="s">
        <v>171</v>
      </c>
      <c r="G42" s="84">
        <v>47.580089075004231</v>
      </c>
    </row>
    <row r="43" spans="1:7" ht="19.899999999999999" customHeight="1" thickBot="1" x14ac:dyDescent="0.3">
      <c r="A43" s="53" t="s">
        <v>66</v>
      </c>
      <c r="B43" s="90">
        <v>69</v>
      </c>
      <c r="C43" s="90"/>
      <c r="D43" s="92"/>
      <c r="E43" s="93">
        <v>80.471014492753639</v>
      </c>
      <c r="F43" s="179" t="s">
        <v>171</v>
      </c>
      <c r="G43" s="94">
        <v>12.960597542611669</v>
      </c>
    </row>
    <row r="44" spans="1:7" s="117" customFormat="1" ht="36.75" customHeight="1" x14ac:dyDescent="0.25">
      <c r="A44" s="205" t="s">
        <v>179</v>
      </c>
      <c r="B44" s="205"/>
      <c r="C44" s="205"/>
      <c r="D44" s="205"/>
      <c r="E44" s="205"/>
      <c r="F44" s="205"/>
      <c r="G44" s="205"/>
    </row>
    <row r="45" spans="1:7" ht="19.899999999999999" customHeight="1" x14ac:dyDescent="0.25">
      <c r="B45" s="58"/>
      <c r="C45" s="58"/>
      <c r="D45" s="78"/>
      <c r="E45" s="85"/>
      <c r="F45" s="116"/>
      <c r="G45" s="86"/>
    </row>
    <row r="46" spans="1:7" ht="6" customHeight="1" thickBot="1" x14ac:dyDescent="0.3">
      <c r="A46" s="53"/>
      <c r="B46" s="55"/>
      <c r="C46" s="55"/>
      <c r="D46" s="71"/>
      <c r="E46" s="72"/>
      <c r="F46" s="105"/>
      <c r="G46" s="73"/>
    </row>
    <row r="47" spans="1:7" ht="19.899999999999999" customHeight="1" thickBot="1" x14ac:dyDescent="0.3">
      <c r="A47" s="60" t="s">
        <v>152</v>
      </c>
      <c r="B47" s="56" t="s">
        <v>153</v>
      </c>
      <c r="C47" s="56"/>
      <c r="D47" s="74"/>
      <c r="E47" s="204"/>
      <c r="F47" s="204"/>
      <c r="G47" s="204"/>
    </row>
    <row r="48" spans="1:7" ht="19.899999999999999" customHeight="1" thickTop="1" x14ac:dyDescent="0.25">
      <c r="A48" s="52" t="s">
        <v>144</v>
      </c>
      <c r="B48" s="58">
        <v>69</v>
      </c>
      <c r="C48" s="58"/>
      <c r="D48" s="78">
        <v>506</v>
      </c>
      <c r="E48" s="87">
        <v>470.5</v>
      </c>
      <c r="F48" s="109" t="s">
        <v>151</v>
      </c>
      <c r="G48" s="84">
        <v>572</v>
      </c>
    </row>
    <row r="49" spans="1:7" ht="19.899999999999999" customHeight="1" x14ac:dyDescent="0.25">
      <c r="A49" s="52" t="s">
        <v>19</v>
      </c>
      <c r="B49" s="58">
        <v>69</v>
      </c>
      <c r="C49" s="58"/>
      <c r="D49" s="78">
        <v>7.2</v>
      </c>
      <c r="E49" s="85">
        <v>4.8499999999999996</v>
      </c>
      <c r="F49" s="107" t="s">
        <v>151</v>
      </c>
      <c r="G49" s="80">
        <v>20</v>
      </c>
    </row>
    <row r="50" spans="1:7" ht="19.899999999999999" customHeight="1" x14ac:dyDescent="0.25">
      <c r="A50" s="52" t="s">
        <v>20</v>
      </c>
      <c r="B50" s="58">
        <v>69</v>
      </c>
      <c r="C50" s="58"/>
      <c r="D50" s="78">
        <v>33.4</v>
      </c>
      <c r="E50" s="87">
        <v>27.45</v>
      </c>
      <c r="F50" s="109" t="s">
        <v>151</v>
      </c>
      <c r="G50" s="84">
        <v>46.6</v>
      </c>
    </row>
    <row r="51" spans="1:7" ht="19.899999999999999" customHeight="1" x14ac:dyDescent="0.25">
      <c r="A51" s="52" t="s">
        <v>21</v>
      </c>
      <c r="B51" s="58">
        <v>69</v>
      </c>
      <c r="C51" s="58"/>
      <c r="D51" s="78">
        <v>-2.8</v>
      </c>
      <c r="E51" s="79">
        <v>-3.3</v>
      </c>
      <c r="F51" s="107" t="s">
        <v>151</v>
      </c>
      <c r="G51" s="80">
        <v>-2.1</v>
      </c>
    </row>
    <row r="52" spans="1:7" ht="19.899999999999999" customHeight="1" x14ac:dyDescent="0.25">
      <c r="A52" s="52" t="s">
        <v>143</v>
      </c>
      <c r="B52" s="58">
        <v>69</v>
      </c>
      <c r="C52" s="58"/>
      <c r="D52" s="83">
        <v>119</v>
      </c>
      <c r="E52" s="87">
        <v>105</v>
      </c>
      <c r="F52" s="109" t="s">
        <v>151</v>
      </c>
      <c r="G52" s="84">
        <v>127.5</v>
      </c>
    </row>
    <row r="53" spans="1:7" ht="19.899999999999999" customHeight="1" x14ac:dyDescent="0.25">
      <c r="A53" s="52" t="s">
        <v>145</v>
      </c>
      <c r="B53" s="58">
        <v>69</v>
      </c>
      <c r="C53" s="58"/>
      <c r="D53" s="82">
        <v>27.6</v>
      </c>
      <c r="E53" s="87">
        <v>15.8</v>
      </c>
      <c r="F53" s="109" t="s">
        <v>151</v>
      </c>
      <c r="G53" s="84">
        <v>36.700000000000003</v>
      </c>
    </row>
    <row r="54" spans="1:7" ht="19.899999999999999" customHeight="1" x14ac:dyDescent="0.25">
      <c r="A54" s="52" t="s">
        <v>146</v>
      </c>
      <c r="B54" s="58">
        <v>69</v>
      </c>
      <c r="C54" s="58"/>
      <c r="D54" s="82">
        <v>66.599999999999994</v>
      </c>
      <c r="E54" s="87">
        <v>54.05</v>
      </c>
      <c r="F54" s="109" t="s">
        <v>151</v>
      </c>
      <c r="G54" s="84">
        <v>72.55</v>
      </c>
    </row>
    <row r="55" spans="1:7" ht="19.899999999999999" customHeight="1" x14ac:dyDescent="0.25">
      <c r="A55" s="52" t="s">
        <v>24</v>
      </c>
      <c r="B55" s="58">
        <v>69</v>
      </c>
      <c r="C55" s="58"/>
      <c r="D55" s="78">
        <v>6.5</v>
      </c>
      <c r="E55" s="85">
        <v>4.45</v>
      </c>
      <c r="F55" s="111" t="s">
        <v>151</v>
      </c>
      <c r="G55" s="86">
        <v>9.1499999999999986</v>
      </c>
    </row>
    <row r="56" spans="1:7" ht="19.899999999999999" customHeight="1" x14ac:dyDescent="0.25">
      <c r="A56" s="52" t="s">
        <v>16</v>
      </c>
      <c r="B56" s="58">
        <v>69</v>
      </c>
      <c r="C56" s="58"/>
      <c r="D56" s="78">
        <v>506</v>
      </c>
      <c r="E56" s="87">
        <v>470.5</v>
      </c>
      <c r="F56" s="109" t="s">
        <v>151</v>
      </c>
      <c r="G56" s="84">
        <v>572</v>
      </c>
    </row>
    <row r="57" spans="1:7" ht="19.899999999999999" customHeight="1" x14ac:dyDescent="0.25">
      <c r="A57" s="52" t="s">
        <v>141</v>
      </c>
      <c r="B57" s="58">
        <v>69</v>
      </c>
      <c r="C57" s="58"/>
      <c r="D57" s="78">
        <v>119</v>
      </c>
      <c r="E57" s="87">
        <v>105</v>
      </c>
      <c r="F57" s="109" t="s">
        <v>151</v>
      </c>
      <c r="G57" s="84">
        <v>127.5</v>
      </c>
    </row>
    <row r="58" spans="1:7" ht="19.899999999999999" customHeight="1" x14ac:dyDescent="0.25">
      <c r="A58" s="52" t="s">
        <v>140</v>
      </c>
      <c r="B58" s="58">
        <v>69</v>
      </c>
      <c r="C58" s="58"/>
      <c r="D58" s="78">
        <v>87</v>
      </c>
      <c r="E58" s="87">
        <v>77</v>
      </c>
      <c r="F58" s="109" t="s">
        <v>151</v>
      </c>
      <c r="G58" s="84">
        <v>97.5</v>
      </c>
    </row>
    <row r="59" spans="1:7" ht="19.899999999999999" customHeight="1" x14ac:dyDescent="0.25">
      <c r="A59" s="52" t="s">
        <v>142</v>
      </c>
      <c r="B59" s="58">
        <v>69</v>
      </c>
      <c r="C59" s="58"/>
      <c r="D59" s="78">
        <v>130</v>
      </c>
      <c r="E59" s="79">
        <v>117</v>
      </c>
      <c r="F59" s="107" t="s">
        <v>151</v>
      </c>
      <c r="G59" s="80">
        <v>144</v>
      </c>
    </row>
    <row r="60" spans="1:7" ht="19.899999999999999" customHeight="1" x14ac:dyDescent="0.25">
      <c r="A60" s="52" t="s">
        <v>5</v>
      </c>
      <c r="B60" s="58">
        <v>69</v>
      </c>
      <c r="C60" s="58"/>
      <c r="D60" s="78">
        <v>8.5</v>
      </c>
      <c r="E60" s="85">
        <v>5.75</v>
      </c>
      <c r="F60" s="111" t="s">
        <v>151</v>
      </c>
      <c r="G60" s="84">
        <v>16.05</v>
      </c>
    </row>
    <row r="61" spans="1:7" ht="19.899999999999999" customHeight="1" x14ac:dyDescent="0.25">
      <c r="A61" s="52" t="s">
        <v>6</v>
      </c>
      <c r="B61" s="58">
        <v>69</v>
      </c>
      <c r="C61" s="58"/>
      <c r="D61" s="78">
        <v>7.2</v>
      </c>
      <c r="E61" s="85">
        <v>4.8499999999999996</v>
      </c>
      <c r="F61" s="107" t="s">
        <v>151</v>
      </c>
      <c r="G61" s="80">
        <v>20</v>
      </c>
    </row>
    <row r="62" spans="1:7" ht="19.899999999999999" customHeight="1" x14ac:dyDescent="0.25">
      <c r="A62" s="52" t="s">
        <v>139</v>
      </c>
      <c r="B62" s="58">
        <v>69</v>
      </c>
      <c r="C62" s="58"/>
      <c r="D62" s="78">
        <v>2</v>
      </c>
      <c r="E62" s="79">
        <v>0</v>
      </c>
      <c r="F62" s="107" t="s">
        <v>151</v>
      </c>
      <c r="G62" s="80">
        <v>9.5</v>
      </c>
    </row>
    <row r="63" spans="1:7" ht="19.899999999999999" customHeight="1" x14ac:dyDescent="0.25">
      <c r="A63" s="52" t="s">
        <v>7</v>
      </c>
      <c r="B63" s="58">
        <v>69</v>
      </c>
      <c r="C63" s="58"/>
      <c r="D63" s="78">
        <v>0.2</v>
      </c>
      <c r="E63" s="79">
        <v>0</v>
      </c>
      <c r="F63" s="107" t="s">
        <v>151</v>
      </c>
      <c r="G63" s="86">
        <v>1.65</v>
      </c>
    </row>
    <row r="64" spans="1:7" ht="19.899999999999999" customHeight="1" x14ac:dyDescent="0.25">
      <c r="A64" s="52" t="s">
        <v>25</v>
      </c>
      <c r="B64" s="58">
        <v>69</v>
      </c>
      <c r="C64" s="58"/>
      <c r="D64" s="78">
        <v>2.1</v>
      </c>
      <c r="E64" s="79">
        <v>1.7</v>
      </c>
      <c r="F64" s="107" t="s">
        <v>151</v>
      </c>
      <c r="G64" s="80">
        <v>3</v>
      </c>
    </row>
    <row r="65" spans="1:7" ht="19.899999999999999" customHeight="1" x14ac:dyDescent="0.25">
      <c r="A65" s="52" t="s">
        <v>27</v>
      </c>
      <c r="B65" s="58">
        <v>69</v>
      </c>
      <c r="C65" s="58"/>
      <c r="D65" s="78">
        <v>77</v>
      </c>
      <c r="E65" s="79">
        <v>51</v>
      </c>
      <c r="F65" s="107" t="s">
        <v>151</v>
      </c>
      <c r="G65" s="80">
        <v>186</v>
      </c>
    </row>
    <row r="66" spans="1:7" ht="19.899999999999999" customHeight="1" x14ac:dyDescent="0.25">
      <c r="A66" s="52" t="s">
        <v>26</v>
      </c>
      <c r="B66" s="58">
        <v>69</v>
      </c>
      <c r="C66" s="58"/>
      <c r="D66" s="78">
        <v>27.6</v>
      </c>
      <c r="E66" s="87">
        <v>15.8</v>
      </c>
      <c r="F66" s="109" t="s">
        <v>151</v>
      </c>
      <c r="G66" s="84">
        <v>36.700000000000003</v>
      </c>
    </row>
    <row r="67" spans="1:7" ht="19.899999999999999" customHeight="1" x14ac:dyDescent="0.25">
      <c r="A67" s="52" t="s">
        <v>8</v>
      </c>
      <c r="B67" s="58">
        <v>69</v>
      </c>
      <c r="C67" s="58"/>
      <c r="D67" s="78">
        <v>5.0999999999999996</v>
      </c>
      <c r="E67" s="79">
        <v>3.4</v>
      </c>
      <c r="F67" s="107" t="s">
        <v>151</v>
      </c>
      <c r="G67" s="86">
        <v>14.149999999999999</v>
      </c>
    </row>
    <row r="68" spans="1:7" ht="19.899999999999999" customHeight="1" x14ac:dyDescent="0.25">
      <c r="A68" s="52" t="s">
        <v>28</v>
      </c>
      <c r="B68" s="58">
        <v>69</v>
      </c>
      <c r="C68" s="58"/>
      <c r="D68" s="78">
        <v>10.9</v>
      </c>
      <c r="E68" s="79">
        <v>7.1</v>
      </c>
      <c r="F68" s="107" t="s">
        <v>151</v>
      </c>
      <c r="G68" s="86">
        <v>18.25</v>
      </c>
    </row>
    <row r="69" spans="1:7" ht="19.899999999999999" customHeight="1" x14ac:dyDescent="0.25">
      <c r="A69" s="52" t="s">
        <v>29</v>
      </c>
      <c r="B69" s="58">
        <v>69</v>
      </c>
      <c r="C69" s="58"/>
      <c r="D69" s="78">
        <v>2</v>
      </c>
      <c r="E69" s="85">
        <v>1.1499999999999999</v>
      </c>
      <c r="F69" s="107" t="s">
        <v>151</v>
      </c>
      <c r="G69" s="86">
        <v>2.6500000000000004</v>
      </c>
    </row>
    <row r="70" spans="1:7" ht="19.899999999999999" customHeight="1" x14ac:dyDescent="0.25">
      <c r="A70" s="52" t="s">
        <v>30</v>
      </c>
      <c r="B70" s="58">
        <v>69</v>
      </c>
      <c r="C70" s="58"/>
      <c r="D70" s="78">
        <v>1.2</v>
      </c>
      <c r="E70" s="79">
        <v>1</v>
      </c>
      <c r="F70" s="107" t="s">
        <v>151</v>
      </c>
      <c r="G70" s="80">
        <v>1.3</v>
      </c>
    </row>
    <row r="71" spans="1:7" ht="19.899999999999999" customHeight="1" x14ac:dyDescent="0.25">
      <c r="A71" s="52" t="s">
        <v>31</v>
      </c>
      <c r="B71" s="58">
        <v>69</v>
      </c>
      <c r="C71" s="58"/>
      <c r="D71" s="78">
        <v>1.3</v>
      </c>
      <c r="E71" s="79">
        <v>0.9</v>
      </c>
      <c r="F71" s="107" t="s">
        <v>151</v>
      </c>
      <c r="G71" s="86">
        <v>1.55</v>
      </c>
    </row>
    <row r="72" spans="1:7" ht="19.899999999999999" customHeight="1" x14ac:dyDescent="0.25">
      <c r="A72" s="52" t="s">
        <v>147</v>
      </c>
      <c r="B72" s="58">
        <v>69</v>
      </c>
      <c r="C72" s="58"/>
      <c r="D72" s="78">
        <v>26</v>
      </c>
      <c r="E72" s="79">
        <v>9.5</v>
      </c>
      <c r="F72" s="107" t="s">
        <v>151</v>
      </c>
      <c r="G72" s="80">
        <v>90</v>
      </c>
    </row>
    <row r="73" spans="1:7" ht="19.899999999999999" customHeight="1" x14ac:dyDescent="0.25">
      <c r="A73" s="52" t="s">
        <v>136</v>
      </c>
      <c r="B73" s="58">
        <v>69</v>
      </c>
      <c r="C73" s="58"/>
      <c r="D73" s="78">
        <v>4</v>
      </c>
      <c r="E73" s="79">
        <v>1</v>
      </c>
      <c r="F73" s="107" t="s">
        <v>151</v>
      </c>
      <c r="G73" s="84">
        <v>11.5</v>
      </c>
    </row>
    <row r="74" spans="1:7" ht="19.899999999999999" customHeight="1" x14ac:dyDescent="0.25">
      <c r="A74" s="52" t="s">
        <v>137</v>
      </c>
      <c r="B74" s="58">
        <v>69</v>
      </c>
      <c r="C74" s="58"/>
      <c r="D74" s="78">
        <v>14</v>
      </c>
      <c r="E74" s="79">
        <v>6</v>
      </c>
      <c r="F74" s="107" t="s">
        <v>151</v>
      </c>
      <c r="G74" s="84">
        <v>71.5</v>
      </c>
    </row>
    <row r="75" spans="1:7" ht="19.899999999999999" customHeight="1" x14ac:dyDescent="0.25">
      <c r="A75" s="52" t="s">
        <v>138</v>
      </c>
      <c r="B75" s="58">
        <v>69</v>
      </c>
      <c r="C75" s="58"/>
      <c r="D75" s="78">
        <v>4</v>
      </c>
      <c r="E75" s="79">
        <v>1</v>
      </c>
      <c r="F75" s="107" t="s">
        <v>151</v>
      </c>
      <c r="G75" s="84">
        <v>31.5</v>
      </c>
    </row>
    <row r="76" spans="1:7" ht="19.899999999999999" customHeight="1" x14ac:dyDescent="0.25">
      <c r="A76" s="52" t="s">
        <v>13</v>
      </c>
      <c r="B76" s="58">
        <v>69</v>
      </c>
      <c r="C76" s="58"/>
      <c r="D76" s="78">
        <v>75.3</v>
      </c>
      <c r="E76" s="87">
        <v>43.25</v>
      </c>
      <c r="F76" s="109" t="s">
        <v>151</v>
      </c>
      <c r="G76" s="84">
        <v>86.9</v>
      </c>
    </row>
    <row r="77" spans="1:7" ht="19.899999999999999" customHeight="1" x14ac:dyDescent="0.25">
      <c r="A77" s="52" t="s">
        <v>14</v>
      </c>
      <c r="B77" s="58">
        <v>69</v>
      </c>
      <c r="C77" s="58"/>
      <c r="D77" s="78">
        <v>23.8</v>
      </c>
      <c r="E77" s="87">
        <v>13.100000000000001</v>
      </c>
      <c r="F77" s="107" t="s">
        <v>151</v>
      </c>
      <c r="G77" s="84">
        <v>56.1</v>
      </c>
    </row>
    <row r="78" spans="1:7" ht="19.899999999999999" customHeight="1" thickBot="1" x14ac:dyDescent="0.3">
      <c r="A78" s="53" t="s">
        <v>15</v>
      </c>
      <c r="B78" s="90">
        <v>69</v>
      </c>
      <c r="C78" s="90"/>
      <c r="D78" s="92">
        <v>4.3</v>
      </c>
      <c r="E78" s="93">
        <v>0.85000000000000009</v>
      </c>
      <c r="F78" s="113" t="s">
        <v>151</v>
      </c>
      <c r="G78" s="94">
        <v>9.0500000000000007</v>
      </c>
    </row>
    <row r="79" spans="1:7" s="117" customFormat="1" x14ac:dyDescent="0.25">
      <c r="A79" s="205" t="s">
        <v>194</v>
      </c>
      <c r="B79" s="205"/>
      <c r="C79" s="205"/>
      <c r="D79" s="205"/>
      <c r="E79" s="205"/>
      <c r="F79" s="205"/>
      <c r="G79" s="205"/>
    </row>
  </sheetData>
  <mergeCells count="7">
    <mergeCell ref="E2:G2"/>
    <mergeCell ref="A79:G79"/>
    <mergeCell ref="E35:G35"/>
    <mergeCell ref="E47:G47"/>
    <mergeCell ref="E21:G21"/>
    <mergeCell ref="A44:G44"/>
    <mergeCell ref="A18:G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4"/>
  <sheetViews>
    <sheetView showGridLines="0" workbookViewId="0">
      <selection activeCell="P6" sqref="P6"/>
    </sheetView>
  </sheetViews>
  <sheetFormatPr defaultColWidth="8.85546875" defaultRowHeight="19.899999999999999" customHeight="1" x14ac:dyDescent="0.25"/>
  <cols>
    <col min="1" max="1" width="23.85546875" style="124" customWidth="1"/>
    <col min="2" max="2" width="8.85546875" style="125"/>
    <col min="3" max="3" width="10.7109375" style="126" customWidth="1"/>
    <col min="4" max="4" width="10.7109375" style="127" customWidth="1"/>
    <col min="5" max="6" width="8.85546875" style="127"/>
    <col min="7" max="16384" width="8.85546875" style="124"/>
  </cols>
  <sheetData>
    <row r="1" spans="1:6" s="17" customFormat="1" ht="6" customHeight="1" thickBot="1" x14ac:dyDescent="0.3">
      <c r="A1" s="41"/>
      <c r="B1" s="121"/>
      <c r="C1" s="34"/>
      <c r="D1" s="34"/>
    </row>
    <row r="2" spans="1:6" s="17" customFormat="1" ht="19.899999999999999" customHeight="1" x14ac:dyDescent="0.25">
      <c r="A2" s="207" t="s">
        <v>152</v>
      </c>
      <c r="B2" s="210" t="s">
        <v>153</v>
      </c>
      <c r="C2" s="212" t="s">
        <v>182</v>
      </c>
      <c r="D2" s="213"/>
    </row>
    <row r="3" spans="1:6" s="17" customFormat="1" ht="19.899999999999999" customHeight="1" thickBot="1" x14ac:dyDescent="0.3">
      <c r="A3" s="208"/>
      <c r="B3" s="211"/>
      <c r="C3" s="122" t="s">
        <v>180</v>
      </c>
      <c r="D3" s="123" t="s">
        <v>181</v>
      </c>
    </row>
    <row r="4" spans="1:6" ht="19.899999999999999" customHeight="1" thickTop="1" x14ac:dyDescent="0.25">
      <c r="A4" s="63" t="s">
        <v>160</v>
      </c>
      <c r="B4" s="128"/>
      <c r="C4" s="129"/>
      <c r="D4" s="130"/>
    </row>
    <row r="5" spans="1:6" ht="19.899999999999999" customHeight="1" x14ac:dyDescent="0.25">
      <c r="A5" s="52" t="s">
        <v>43</v>
      </c>
      <c r="B5" s="118">
        <v>69</v>
      </c>
      <c r="C5" s="140">
        <v>-0.37799838632978849</v>
      </c>
      <c r="D5" s="140">
        <v>1.3636717407487448E-3</v>
      </c>
      <c r="E5" s="119"/>
      <c r="F5" s="119"/>
    </row>
    <row r="6" spans="1:6" ht="19.899999999999999" customHeight="1" x14ac:dyDescent="0.25">
      <c r="A6" s="52" t="s">
        <v>0</v>
      </c>
      <c r="B6" s="118">
        <v>69</v>
      </c>
      <c r="C6" s="120">
        <v>-0.18717812621828658</v>
      </c>
      <c r="D6" s="119">
        <v>0.12354578037149737</v>
      </c>
      <c r="E6" s="119"/>
      <c r="F6" s="119"/>
    </row>
    <row r="7" spans="1:6" ht="19.899999999999999" customHeight="1" x14ac:dyDescent="0.25">
      <c r="A7" s="52" t="s">
        <v>1</v>
      </c>
      <c r="B7" s="118">
        <v>69</v>
      </c>
      <c r="C7" s="120">
        <v>0.10503318415408304</v>
      </c>
      <c r="D7" s="119">
        <v>0.39038944651247276</v>
      </c>
      <c r="E7" s="119"/>
      <c r="F7" s="119"/>
    </row>
    <row r="8" spans="1:6" ht="19.899999999999999" customHeight="1" x14ac:dyDescent="0.25">
      <c r="A8" s="52" t="s">
        <v>148</v>
      </c>
      <c r="B8" s="118">
        <v>69</v>
      </c>
      <c r="C8" s="140">
        <v>-0.24797735693879205</v>
      </c>
      <c r="D8" s="140">
        <v>3.9E-2</v>
      </c>
      <c r="E8" s="119"/>
      <c r="F8" s="119"/>
    </row>
    <row r="9" spans="1:6" ht="19.899999999999999" customHeight="1" x14ac:dyDescent="0.25">
      <c r="A9" s="52" t="s">
        <v>34</v>
      </c>
      <c r="B9" s="118">
        <v>67</v>
      </c>
      <c r="C9" s="140">
        <v>0.41793799090006678</v>
      </c>
      <c r="D9" s="141">
        <v>4.3296632630258778E-4</v>
      </c>
      <c r="E9" s="119"/>
      <c r="F9" s="119"/>
    </row>
    <row r="10" spans="1:6" ht="19.899999999999999" customHeight="1" x14ac:dyDescent="0.25">
      <c r="A10" s="52" t="s">
        <v>150</v>
      </c>
      <c r="B10" s="118">
        <v>67</v>
      </c>
      <c r="C10" s="120">
        <v>0.10894632479166018</v>
      </c>
      <c r="D10" s="119">
        <v>0.38016177565816189</v>
      </c>
      <c r="E10" s="119"/>
      <c r="F10" s="119"/>
    </row>
    <row r="11" spans="1:6" ht="19.899999999999999" customHeight="1" x14ac:dyDescent="0.25">
      <c r="A11" s="52" t="s">
        <v>35</v>
      </c>
      <c r="B11" s="118">
        <v>69</v>
      </c>
      <c r="C11" s="140">
        <v>-0.4375746973969295</v>
      </c>
      <c r="D11" s="141">
        <v>1E-4</v>
      </c>
      <c r="E11" s="119"/>
      <c r="F11" s="119"/>
    </row>
    <row r="12" spans="1:6" ht="19.899999999999999" customHeight="1" x14ac:dyDescent="0.25">
      <c r="A12" s="63" t="s">
        <v>161</v>
      </c>
      <c r="B12" s="131"/>
      <c r="C12" s="132"/>
      <c r="D12" s="133"/>
      <c r="E12" s="119"/>
      <c r="F12" s="119"/>
    </row>
    <row r="13" spans="1:6" ht="19.899999999999999" customHeight="1" x14ac:dyDescent="0.25">
      <c r="A13" s="52" t="s">
        <v>36</v>
      </c>
      <c r="B13" s="118">
        <v>68</v>
      </c>
      <c r="C13" s="140">
        <v>0.30624670069026566</v>
      </c>
      <c r="D13" s="140">
        <v>1.1088404668715105E-2</v>
      </c>
      <c r="E13" s="119"/>
      <c r="F13" s="119"/>
    </row>
    <row r="14" spans="1:6" ht="19.899999999999999" customHeight="1" x14ac:dyDescent="0.25">
      <c r="A14" s="52" t="s">
        <v>37</v>
      </c>
      <c r="B14" s="118">
        <v>68</v>
      </c>
      <c r="C14" s="140">
        <v>0.29771006244419623</v>
      </c>
      <c r="D14" s="140">
        <v>1.2999999999999999E-2</v>
      </c>
      <c r="E14" s="119"/>
      <c r="F14" s="119"/>
    </row>
    <row r="15" spans="1:6" ht="19.899999999999999" customHeight="1" x14ac:dyDescent="0.25">
      <c r="A15" s="52" t="s">
        <v>38</v>
      </c>
      <c r="B15" s="118">
        <v>68</v>
      </c>
      <c r="C15" s="140">
        <v>0.35977001806747233</v>
      </c>
      <c r="D15" s="140">
        <v>2E-3</v>
      </c>
      <c r="E15" s="119"/>
      <c r="F15" s="119"/>
    </row>
    <row r="16" spans="1:6" ht="19.899999999999999" customHeight="1" x14ac:dyDescent="0.25">
      <c r="A16" s="52" t="s">
        <v>39</v>
      </c>
      <c r="B16" s="118">
        <v>68</v>
      </c>
      <c r="C16" s="120">
        <v>-0.22872306766329598</v>
      </c>
      <c r="D16" s="120">
        <v>6.0643821277794656E-2</v>
      </c>
      <c r="E16" s="119"/>
      <c r="F16" s="119"/>
    </row>
    <row r="17" spans="1:6" ht="19.899999999999999" customHeight="1" x14ac:dyDescent="0.25">
      <c r="A17" s="52" t="s">
        <v>40</v>
      </c>
      <c r="B17" s="118">
        <v>66</v>
      </c>
      <c r="C17" s="140">
        <v>0.26849449609040782</v>
      </c>
      <c r="D17" s="140">
        <v>2.9273854548303547E-2</v>
      </c>
      <c r="E17" s="119"/>
      <c r="F17" s="119"/>
    </row>
    <row r="18" spans="1:6" ht="19.899999999999999" customHeight="1" x14ac:dyDescent="0.25">
      <c r="A18" s="52" t="s">
        <v>41</v>
      </c>
      <c r="B18" s="118">
        <v>66</v>
      </c>
      <c r="C18" s="140">
        <v>0.28782524965044681</v>
      </c>
      <c r="D18" s="140">
        <v>1.9106164184468092E-2</v>
      </c>
      <c r="E18" s="119"/>
      <c r="F18" s="119"/>
    </row>
    <row r="19" spans="1:6" ht="19.899999999999999" customHeight="1" x14ac:dyDescent="0.25">
      <c r="A19" s="63" t="s">
        <v>169</v>
      </c>
      <c r="B19" s="131"/>
      <c r="C19" s="132"/>
      <c r="D19" s="133"/>
      <c r="E19" s="119"/>
      <c r="F19" s="119"/>
    </row>
    <row r="20" spans="1:6" ht="19.899999999999999" customHeight="1" x14ac:dyDescent="0.25">
      <c r="A20" s="52" t="s">
        <v>172</v>
      </c>
      <c r="B20" s="118">
        <v>69</v>
      </c>
      <c r="C20" s="120">
        <v>-9.9733114204310636E-2</v>
      </c>
      <c r="D20" s="119">
        <v>0.41487406341698152</v>
      </c>
      <c r="E20" s="119"/>
      <c r="F20" s="119"/>
    </row>
    <row r="21" spans="1:6" ht="19.899999999999999" customHeight="1" x14ac:dyDescent="0.25">
      <c r="A21" s="52" t="s">
        <v>173</v>
      </c>
      <c r="B21" s="118">
        <v>68</v>
      </c>
      <c r="C21" s="140">
        <v>-0.36447779761050408</v>
      </c>
      <c r="D21" s="140">
        <v>2.2454143494900179E-3</v>
      </c>
      <c r="E21" s="119"/>
      <c r="F21" s="119"/>
    </row>
    <row r="22" spans="1:6" ht="19.899999999999999" customHeight="1" x14ac:dyDescent="0.25">
      <c r="A22" s="52" t="s">
        <v>174</v>
      </c>
      <c r="B22" s="118">
        <v>69</v>
      </c>
      <c r="C22" s="120">
        <v>-2.2799878696420851E-2</v>
      </c>
      <c r="D22" s="119">
        <v>0.85248066867022221</v>
      </c>
      <c r="E22" s="119"/>
      <c r="F22" s="119"/>
    </row>
    <row r="23" spans="1:6" ht="19.899999999999999" customHeight="1" x14ac:dyDescent="0.25">
      <c r="A23" s="52" t="s">
        <v>175</v>
      </c>
      <c r="B23" s="118">
        <v>69</v>
      </c>
      <c r="C23" s="120">
        <v>-7.26468462727482E-2</v>
      </c>
      <c r="D23" s="119">
        <v>0.55304039266378779</v>
      </c>
      <c r="E23" s="119"/>
      <c r="F23" s="119"/>
    </row>
    <row r="24" spans="1:6" ht="19.899999999999999" customHeight="1" x14ac:dyDescent="0.25">
      <c r="A24" s="52" t="s">
        <v>176</v>
      </c>
      <c r="B24" s="118">
        <v>51</v>
      </c>
      <c r="C24" s="120">
        <v>-7.2579129834107192E-3</v>
      </c>
      <c r="D24" s="119">
        <v>0.95968607866058442</v>
      </c>
      <c r="E24" s="119"/>
      <c r="F24" s="119"/>
    </row>
    <row r="25" spans="1:6" ht="19.899999999999999" customHeight="1" x14ac:dyDescent="0.25">
      <c r="A25" s="63" t="s">
        <v>170</v>
      </c>
      <c r="B25" s="131"/>
      <c r="C25" s="132"/>
      <c r="D25" s="133"/>
      <c r="E25" s="119"/>
      <c r="F25" s="119"/>
    </row>
    <row r="26" spans="1:6" ht="19.899999999999999" customHeight="1" x14ac:dyDescent="0.25">
      <c r="A26" s="52" t="s">
        <v>172</v>
      </c>
      <c r="B26" s="118">
        <v>69</v>
      </c>
      <c r="C26" s="120">
        <v>0.11934317123102901</v>
      </c>
      <c r="D26" s="119">
        <v>0.32870550544612431</v>
      </c>
      <c r="E26" s="119"/>
      <c r="F26" s="119"/>
    </row>
    <row r="27" spans="1:6" ht="19.899999999999999" customHeight="1" x14ac:dyDescent="0.25">
      <c r="A27" s="52" t="s">
        <v>173</v>
      </c>
      <c r="B27" s="118">
        <v>69</v>
      </c>
      <c r="C27" s="120">
        <v>-3.5711257788661167E-2</v>
      </c>
      <c r="D27" s="119">
        <v>0.77081145785503247</v>
      </c>
      <c r="E27" s="119"/>
      <c r="F27" s="119"/>
    </row>
    <row r="28" spans="1:6" ht="19.899999999999999" customHeight="1" x14ac:dyDescent="0.25">
      <c r="A28" s="52" t="s">
        <v>174</v>
      </c>
      <c r="B28" s="118">
        <v>69</v>
      </c>
      <c r="C28" s="120">
        <v>-2.6983986642618141E-2</v>
      </c>
      <c r="D28" s="119">
        <v>0.82580029630972662</v>
      </c>
      <c r="E28" s="119"/>
      <c r="F28" s="119"/>
    </row>
    <row r="29" spans="1:6" ht="19.899999999999999" customHeight="1" x14ac:dyDescent="0.25">
      <c r="A29" s="52" t="s">
        <v>175</v>
      </c>
      <c r="B29" s="118">
        <v>69</v>
      </c>
      <c r="C29" s="120">
        <v>-5.6209238220207153E-2</v>
      </c>
      <c r="D29" s="119">
        <v>0.6464193930188239</v>
      </c>
      <c r="E29" s="119"/>
      <c r="F29" s="119"/>
    </row>
    <row r="30" spans="1:6" ht="19.899999999999999" customHeight="1" x14ac:dyDescent="0.25">
      <c r="A30" s="95" t="s">
        <v>176</v>
      </c>
      <c r="B30" s="134">
        <v>51</v>
      </c>
      <c r="C30" s="135">
        <v>0.22679333309801902</v>
      </c>
      <c r="D30" s="136">
        <v>0.1</v>
      </c>
      <c r="E30" s="119"/>
      <c r="F30" s="119"/>
    </row>
    <row r="31" spans="1:6" ht="19.899999999999999" customHeight="1" x14ac:dyDescent="0.25">
      <c r="A31" s="52" t="s">
        <v>178</v>
      </c>
      <c r="B31" s="118">
        <v>51</v>
      </c>
      <c r="C31" s="120">
        <v>0.19024629778496255</v>
      </c>
      <c r="D31" s="119">
        <v>0.18115797939486919</v>
      </c>
      <c r="E31" s="119"/>
      <c r="F31" s="119"/>
    </row>
    <row r="32" spans="1:6" ht="19.899999999999999" customHeight="1" x14ac:dyDescent="0.25">
      <c r="A32" s="63" t="s">
        <v>162</v>
      </c>
      <c r="B32" s="131"/>
      <c r="C32" s="132"/>
      <c r="D32" s="133"/>
      <c r="E32" s="119"/>
      <c r="F32" s="119"/>
    </row>
    <row r="33" spans="1:6" ht="19.899999999999999" customHeight="1" x14ac:dyDescent="0.25">
      <c r="A33" s="52" t="s">
        <v>2</v>
      </c>
      <c r="B33" s="118">
        <v>68</v>
      </c>
      <c r="C33" s="120">
        <v>-0.17432896858828911</v>
      </c>
      <c r="D33" s="119">
        <v>0.15508007407692209</v>
      </c>
      <c r="E33" s="119"/>
      <c r="F33" s="119"/>
    </row>
    <row r="34" spans="1:6" ht="19.899999999999999" customHeight="1" x14ac:dyDescent="0.25">
      <c r="A34" s="52" t="s">
        <v>3</v>
      </c>
      <c r="B34" s="118">
        <v>68</v>
      </c>
      <c r="C34" s="120">
        <v>-0.15788044254629968</v>
      </c>
      <c r="D34" s="119">
        <v>0.19849194899808489</v>
      </c>
      <c r="E34" s="119"/>
      <c r="F34" s="119"/>
    </row>
    <row r="35" spans="1:6" ht="19.899999999999999" customHeight="1" x14ac:dyDescent="0.25">
      <c r="A35" s="52" t="s">
        <v>4</v>
      </c>
      <c r="B35" s="118">
        <v>68</v>
      </c>
      <c r="C35" s="120">
        <v>-0.1247657101956705</v>
      </c>
      <c r="D35" s="119">
        <v>0.31070797111102977</v>
      </c>
      <c r="E35" s="119"/>
      <c r="F35" s="119"/>
    </row>
    <row r="36" spans="1:6" s="17" customFormat="1" ht="6" customHeight="1" thickBot="1" x14ac:dyDescent="0.3">
      <c r="A36" s="41"/>
      <c r="B36" s="121"/>
      <c r="C36" s="34"/>
      <c r="D36" s="34"/>
    </row>
    <row r="37" spans="1:6" ht="15" x14ac:dyDescent="0.25">
      <c r="A37" s="209" t="s">
        <v>183</v>
      </c>
      <c r="B37" s="209"/>
      <c r="C37" s="209"/>
      <c r="D37" s="209"/>
    </row>
    <row r="38" spans="1:6" ht="15" x14ac:dyDescent="0.25">
      <c r="A38" s="180"/>
      <c r="B38" s="180"/>
      <c r="C38" s="180"/>
      <c r="D38" s="180"/>
    </row>
    <row r="39" spans="1:6" ht="6" customHeight="1" thickBot="1" x14ac:dyDescent="0.3"/>
    <row r="40" spans="1:6" s="17" customFormat="1" ht="19.899999999999999" customHeight="1" x14ac:dyDescent="0.25">
      <c r="A40" s="207" t="s">
        <v>152</v>
      </c>
      <c r="B40" s="210" t="s">
        <v>153</v>
      </c>
      <c r="C40" s="212" t="s">
        <v>182</v>
      </c>
      <c r="D40" s="213"/>
    </row>
    <row r="41" spans="1:6" s="17" customFormat="1" ht="19.899999999999999" customHeight="1" thickBot="1" x14ac:dyDescent="0.3">
      <c r="A41" s="208"/>
      <c r="B41" s="211"/>
      <c r="C41" s="122" t="s">
        <v>180</v>
      </c>
      <c r="D41" s="123" t="s">
        <v>181</v>
      </c>
    </row>
    <row r="42" spans="1:6" ht="19.899999999999999" customHeight="1" thickTop="1" x14ac:dyDescent="0.25">
      <c r="A42" s="63" t="s">
        <v>164</v>
      </c>
      <c r="B42" s="131"/>
      <c r="C42" s="132"/>
      <c r="D42" s="133"/>
      <c r="E42" s="119"/>
      <c r="F42" s="119"/>
    </row>
    <row r="43" spans="1:6" ht="19.899999999999999" customHeight="1" x14ac:dyDescent="0.25">
      <c r="A43" s="52" t="s">
        <v>144</v>
      </c>
      <c r="B43" s="118">
        <v>69</v>
      </c>
      <c r="C43" s="120">
        <v>-0.10590666018678542</v>
      </c>
      <c r="D43" s="119">
        <v>0.38643833937718075</v>
      </c>
      <c r="E43" s="119"/>
      <c r="F43" s="119"/>
    </row>
    <row r="44" spans="1:6" ht="19.899999999999999" customHeight="1" x14ac:dyDescent="0.25">
      <c r="A44" s="52" t="s">
        <v>19</v>
      </c>
      <c r="B44" s="118">
        <v>69</v>
      </c>
      <c r="C44" s="120">
        <v>-0.2026338692348055</v>
      </c>
      <c r="D44" s="120">
        <v>9.4953967562254604E-2</v>
      </c>
      <c r="E44" s="119"/>
      <c r="F44" s="119"/>
    </row>
    <row r="45" spans="1:6" ht="19.899999999999999" customHeight="1" x14ac:dyDescent="0.25">
      <c r="A45" s="52" t="s">
        <v>20</v>
      </c>
      <c r="B45" s="118">
        <v>69</v>
      </c>
      <c r="C45" s="120">
        <v>-0.21768693443192733</v>
      </c>
      <c r="D45" s="120">
        <v>7.2363560970075846E-2</v>
      </c>
      <c r="E45" s="119"/>
      <c r="F45" s="119"/>
    </row>
    <row r="46" spans="1:6" ht="19.899999999999999" customHeight="1" x14ac:dyDescent="0.25">
      <c r="A46" s="52" t="s">
        <v>21</v>
      </c>
      <c r="B46" s="118">
        <v>69</v>
      </c>
      <c r="C46" s="140">
        <v>-0.24176610238332838</v>
      </c>
      <c r="D46" s="140">
        <v>4.5352726248818434E-2</v>
      </c>
      <c r="E46" s="119"/>
      <c r="F46" s="119"/>
    </row>
    <row r="47" spans="1:6" ht="19.899999999999999" customHeight="1" x14ac:dyDescent="0.25">
      <c r="A47" s="52" t="s">
        <v>143</v>
      </c>
      <c r="B47" s="118">
        <v>69</v>
      </c>
      <c r="C47" s="120">
        <v>0.181877870572939</v>
      </c>
      <c r="D47" s="119">
        <v>0.1347327667185918</v>
      </c>
      <c r="E47" s="119"/>
      <c r="F47" s="119"/>
    </row>
    <row r="48" spans="1:6" ht="19.899999999999999" customHeight="1" x14ac:dyDescent="0.25">
      <c r="A48" s="52" t="s">
        <v>145</v>
      </c>
      <c r="B48" s="118">
        <v>69</v>
      </c>
      <c r="C48" s="120">
        <v>8.2183533964655581E-2</v>
      </c>
      <c r="D48" s="119">
        <v>0.50200832699972631</v>
      </c>
      <c r="E48" s="119"/>
      <c r="F48" s="119"/>
    </row>
    <row r="49" spans="1:6" ht="19.899999999999999" customHeight="1" x14ac:dyDescent="0.25">
      <c r="A49" s="52" t="s">
        <v>146</v>
      </c>
      <c r="B49" s="118">
        <v>69</v>
      </c>
      <c r="C49" s="120">
        <v>0.21849171835439632</v>
      </c>
      <c r="D49" s="120">
        <v>7.1289034532872123E-2</v>
      </c>
      <c r="E49" s="119"/>
      <c r="F49" s="119"/>
    </row>
    <row r="50" spans="1:6" ht="19.899999999999999" customHeight="1" x14ac:dyDescent="0.25">
      <c r="A50" s="52" t="s">
        <v>24</v>
      </c>
      <c r="B50" s="118">
        <v>69</v>
      </c>
      <c r="C50" s="120">
        <v>0.1757127809657647</v>
      </c>
      <c r="D50" s="119">
        <v>0.14868890874732493</v>
      </c>
      <c r="E50" s="119"/>
      <c r="F50" s="119"/>
    </row>
    <row r="51" spans="1:6" ht="19.899999999999999" customHeight="1" x14ac:dyDescent="0.25">
      <c r="A51" s="52" t="s">
        <v>16</v>
      </c>
      <c r="B51" s="118">
        <v>69</v>
      </c>
      <c r="C51" s="120">
        <v>-0.10590666018678542</v>
      </c>
      <c r="D51" s="119">
        <v>0.38643833937718075</v>
      </c>
      <c r="E51" s="119"/>
      <c r="F51" s="119"/>
    </row>
    <row r="52" spans="1:6" ht="19.899999999999999" customHeight="1" x14ac:dyDescent="0.25">
      <c r="A52" s="52" t="s">
        <v>141</v>
      </c>
      <c r="B52" s="118">
        <v>69</v>
      </c>
      <c r="C52" s="120">
        <v>0.18953385767268852</v>
      </c>
      <c r="D52" s="119">
        <v>0.11880732822373632</v>
      </c>
      <c r="E52" s="119"/>
      <c r="F52" s="119"/>
    </row>
    <row r="53" spans="1:6" ht="19.899999999999999" customHeight="1" x14ac:dyDescent="0.25">
      <c r="A53" s="52" t="s">
        <v>140</v>
      </c>
      <c r="B53" s="118">
        <v>69</v>
      </c>
      <c r="C53" s="120">
        <v>-2.719503762553856E-2</v>
      </c>
      <c r="D53" s="119">
        <v>0.82445943861732962</v>
      </c>
      <c r="E53" s="119"/>
      <c r="F53" s="119"/>
    </row>
    <row r="54" spans="1:6" ht="19.899999999999999" customHeight="1" x14ac:dyDescent="0.25">
      <c r="A54" s="52" t="s">
        <v>142</v>
      </c>
      <c r="B54" s="118">
        <v>69</v>
      </c>
      <c r="C54" s="120">
        <v>0.16719433746993381</v>
      </c>
      <c r="D54" s="119">
        <v>0.16971022400054103</v>
      </c>
      <c r="E54" s="119"/>
      <c r="F54" s="119"/>
    </row>
    <row r="55" spans="1:6" ht="19.899999999999999" customHeight="1" x14ac:dyDescent="0.25">
      <c r="A55" s="52" t="s">
        <v>5</v>
      </c>
      <c r="B55" s="118">
        <v>69</v>
      </c>
      <c r="C55" s="120">
        <v>-3.7584479558753207E-2</v>
      </c>
      <c r="D55" s="119">
        <v>0.75914409003369798</v>
      </c>
      <c r="E55" s="119"/>
      <c r="F55" s="119"/>
    </row>
    <row r="56" spans="1:6" ht="19.899999999999999" customHeight="1" x14ac:dyDescent="0.25">
      <c r="A56" s="52" t="s">
        <v>6</v>
      </c>
      <c r="B56" s="118">
        <v>69</v>
      </c>
      <c r="C56" s="120">
        <v>-0.2026338692348055</v>
      </c>
      <c r="D56" s="120">
        <v>9.4953967562254604E-2</v>
      </c>
      <c r="E56" s="119"/>
      <c r="F56" s="119"/>
    </row>
    <row r="57" spans="1:6" ht="19.899999999999999" customHeight="1" x14ac:dyDescent="0.25">
      <c r="A57" s="52" t="s">
        <v>139</v>
      </c>
      <c r="B57" s="118">
        <v>69</v>
      </c>
      <c r="C57" s="140">
        <v>-0.29704465922250661</v>
      </c>
      <c r="D57" s="140">
        <v>1.3190554192799788E-2</v>
      </c>
      <c r="E57" s="119"/>
      <c r="F57" s="119"/>
    </row>
    <row r="58" spans="1:6" ht="19.899999999999999" customHeight="1" x14ac:dyDescent="0.25">
      <c r="A58" s="52" t="s">
        <v>7</v>
      </c>
      <c r="B58" s="118">
        <v>69</v>
      </c>
      <c r="C58" s="120">
        <v>-0.17908218635040457</v>
      </c>
      <c r="D58" s="119">
        <v>0.14093355390699816</v>
      </c>
      <c r="E58" s="119"/>
      <c r="F58" s="119"/>
    </row>
    <row r="59" spans="1:6" ht="19.899999999999999" customHeight="1" x14ac:dyDescent="0.25">
      <c r="A59" s="52" t="s">
        <v>25</v>
      </c>
      <c r="B59" s="118">
        <v>69</v>
      </c>
      <c r="C59" s="120">
        <v>9.7583333627750443E-2</v>
      </c>
      <c r="D59" s="119">
        <v>0.42505277219568915</v>
      </c>
      <c r="E59" s="119"/>
      <c r="F59" s="119"/>
    </row>
    <row r="60" spans="1:6" ht="19.899999999999999" customHeight="1" x14ac:dyDescent="0.25">
      <c r="A60" s="52" t="s">
        <v>27</v>
      </c>
      <c r="B60" s="118">
        <v>69</v>
      </c>
      <c r="C60" s="120">
        <v>1.6003000677809263E-3</v>
      </c>
      <c r="D60" s="119">
        <v>0.98958770663038242</v>
      </c>
      <c r="E60" s="119"/>
      <c r="F60" s="119"/>
    </row>
    <row r="61" spans="1:6" ht="19.899999999999999" customHeight="1" x14ac:dyDescent="0.25">
      <c r="A61" s="52" t="s">
        <v>26</v>
      </c>
      <c r="B61" s="118">
        <v>69</v>
      </c>
      <c r="C61" s="120">
        <v>8.2183533964655581E-2</v>
      </c>
      <c r="D61" s="119">
        <v>0.50200832699972631</v>
      </c>
      <c r="E61" s="119"/>
      <c r="F61" s="119"/>
    </row>
    <row r="62" spans="1:6" ht="19.899999999999999" customHeight="1" x14ac:dyDescent="0.25">
      <c r="A62" s="52" t="s">
        <v>8</v>
      </c>
      <c r="B62" s="118">
        <v>69</v>
      </c>
      <c r="C62" s="120">
        <v>-0.20259273361893695</v>
      </c>
      <c r="D62" s="120">
        <v>9.502250252763976E-2</v>
      </c>
      <c r="E62" s="119"/>
      <c r="F62" s="119"/>
    </row>
    <row r="63" spans="1:6" ht="19.899999999999999" customHeight="1" x14ac:dyDescent="0.25">
      <c r="A63" s="52" t="s">
        <v>28</v>
      </c>
      <c r="B63" s="118">
        <v>69</v>
      </c>
      <c r="C63" s="120">
        <v>3.374940609095279E-2</v>
      </c>
      <c r="D63" s="119">
        <v>0.7830853921509896</v>
      </c>
      <c r="E63" s="119"/>
      <c r="F63" s="119"/>
    </row>
    <row r="64" spans="1:6" ht="19.899999999999999" customHeight="1" x14ac:dyDescent="0.25">
      <c r="A64" s="52" t="s">
        <v>29</v>
      </c>
      <c r="B64" s="118">
        <v>69</v>
      </c>
      <c r="C64" s="120">
        <v>0.19065165245603588</v>
      </c>
      <c r="D64" s="119">
        <v>0.11660823180083611</v>
      </c>
      <c r="E64" s="119"/>
      <c r="F64" s="119"/>
    </row>
    <row r="65" spans="1:6" ht="19.899999999999999" customHeight="1" x14ac:dyDescent="0.25">
      <c r="A65" s="52" t="s">
        <v>30</v>
      </c>
      <c r="B65" s="118">
        <v>69</v>
      </c>
      <c r="C65" s="120">
        <v>0.19531080965598427</v>
      </c>
      <c r="D65" s="119">
        <v>0.1</v>
      </c>
      <c r="E65" s="119"/>
      <c r="F65" s="119"/>
    </row>
    <row r="66" spans="1:6" ht="19.899999999999999" customHeight="1" x14ac:dyDescent="0.25">
      <c r="A66" s="52" t="s">
        <v>31</v>
      </c>
      <c r="B66" s="118">
        <v>69</v>
      </c>
      <c r="C66" s="120">
        <v>0.17620964940391409</v>
      </c>
      <c r="D66" s="119">
        <v>0.14752566720339322</v>
      </c>
      <c r="E66" s="119"/>
      <c r="F66" s="119"/>
    </row>
    <row r="67" spans="1:6" ht="19.899999999999999" customHeight="1" x14ac:dyDescent="0.25">
      <c r="A67" s="52" t="s">
        <v>147</v>
      </c>
      <c r="B67" s="118">
        <v>69</v>
      </c>
      <c r="C67" s="120">
        <v>0.11781039762863595</v>
      </c>
      <c r="D67" s="119">
        <v>0.33500011885962788</v>
      </c>
      <c r="E67" s="119"/>
      <c r="F67" s="119"/>
    </row>
    <row r="68" spans="1:6" ht="19.899999999999999" customHeight="1" x14ac:dyDescent="0.25">
      <c r="A68" s="52" t="s">
        <v>136</v>
      </c>
      <c r="B68" s="118">
        <v>69</v>
      </c>
      <c r="C68" s="120">
        <v>0.1214453002913147</v>
      </c>
      <c r="D68" s="119">
        <v>0.32019547102891061</v>
      </c>
      <c r="E68" s="119"/>
      <c r="F68" s="119"/>
    </row>
    <row r="69" spans="1:6" ht="19.899999999999999" customHeight="1" x14ac:dyDescent="0.25">
      <c r="A69" s="52" t="s">
        <v>137</v>
      </c>
      <c r="B69" s="118">
        <v>69</v>
      </c>
      <c r="C69" s="120">
        <v>0.13021064295129117</v>
      </c>
      <c r="D69" s="119">
        <v>0.28624328695298179</v>
      </c>
      <c r="E69" s="119"/>
      <c r="F69" s="119"/>
    </row>
    <row r="70" spans="1:6" ht="19.899999999999999" customHeight="1" x14ac:dyDescent="0.25">
      <c r="A70" s="52" t="s">
        <v>138</v>
      </c>
      <c r="B70" s="118">
        <v>69</v>
      </c>
      <c r="C70" s="120">
        <v>1.3801831564641208E-2</v>
      </c>
      <c r="D70" s="119">
        <v>0.91038139037283317</v>
      </c>
      <c r="E70" s="119"/>
      <c r="F70" s="119"/>
    </row>
    <row r="71" spans="1:6" ht="19.899999999999999" customHeight="1" x14ac:dyDescent="0.25">
      <c r="A71" s="52" t="s">
        <v>13</v>
      </c>
      <c r="B71" s="118">
        <v>69</v>
      </c>
      <c r="C71" s="140">
        <v>0.27360119987601639</v>
      </c>
      <c r="D71" s="140">
        <v>2.2919375093869827E-2</v>
      </c>
      <c r="E71" s="119"/>
      <c r="F71" s="119"/>
    </row>
    <row r="72" spans="1:6" ht="19.899999999999999" customHeight="1" x14ac:dyDescent="0.25">
      <c r="A72" s="52" t="s">
        <v>14</v>
      </c>
      <c r="B72" s="118">
        <v>69</v>
      </c>
      <c r="C72" s="140">
        <v>-0.27219183477565984</v>
      </c>
      <c r="D72" s="140">
        <v>2.3E-2</v>
      </c>
      <c r="E72" s="119"/>
      <c r="F72" s="119"/>
    </row>
    <row r="73" spans="1:6" ht="19.899999999999999" customHeight="1" thickBot="1" x14ac:dyDescent="0.3">
      <c r="A73" s="53" t="s">
        <v>15</v>
      </c>
      <c r="B73" s="137">
        <v>69</v>
      </c>
      <c r="C73" s="138">
        <v>0.11411479067783682</v>
      </c>
      <c r="D73" s="139">
        <v>0.35048648674604621</v>
      </c>
      <c r="E73" s="119"/>
      <c r="F73" s="119"/>
    </row>
    <row r="74" spans="1:6" ht="15" x14ac:dyDescent="0.25">
      <c r="A74" s="209" t="s">
        <v>183</v>
      </c>
      <c r="B74" s="209"/>
      <c r="C74" s="209"/>
      <c r="D74" s="209"/>
    </row>
  </sheetData>
  <mergeCells count="8">
    <mergeCell ref="A2:A3"/>
    <mergeCell ref="A74:D74"/>
    <mergeCell ref="B2:B3"/>
    <mergeCell ref="C2:D2"/>
    <mergeCell ref="A40:A41"/>
    <mergeCell ref="B40:B41"/>
    <mergeCell ref="C40:D40"/>
    <mergeCell ref="A37:D37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9"/>
  <sheetViews>
    <sheetView showGridLines="0" workbookViewId="0">
      <selection activeCell="P4" sqref="P4"/>
    </sheetView>
  </sheetViews>
  <sheetFormatPr defaultRowHeight="22.15" customHeight="1" x14ac:dyDescent="0.25"/>
  <cols>
    <col min="1" max="1" width="17.42578125" style="2" customWidth="1"/>
    <col min="2" max="3" width="12.7109375" style="2" customWidth="1"/>
    <col min="4" max="4" width="3.7109375" style="2" customWidth="1"/>
    <col min="5" max="5" width="9.5703125" style="2" customWidth="1"/>
    <col min="6" max="8" width="9.85546875" style="2" customWidth="1"/>
    <col min="9" max="244" width="8.85546875" style="2"/>
    <col min="245" max="245" width="5.7109375" style="2" customWidth="1"/>
    <col min="246" max="246" width="17.42578125" style="2" customWidth="1"/>
    <col min="247" max="248" width="12.7109375" style="2" customWidth="1"/>
    <col min="249" max="249" width="3.7109375" style="2" customWidth="1"/>
    <col min="250" max="250" width="9.5703125" style="2" customWidth="1"/>
    <col min="251" max="253" width="9.85546875" style="2" customWidth="1"/>
    <col min="254" max="500" width="8.85546875" style="2"/>
    <col min="501" max="501" width="5.7109375" style="2" customWidth="1"/>
    <col min="502" max="502" width="17.42578125" style="2" customWidth="1"/>
    <col min="503" max="504" width="12.7109375" style="2" customWidth="1"/>
    <col min="505" max="505" width="3.7109375" style="2" customWidth="1"/>
    <col min="506" max="506" width="9.5703125" style="2" customWidth="1"/>
    <col min="507" max="509" width="9.85546875" style="2" customWidth="1"/>
    <col min="510" max="756" width="8.85546875" style="2"/>
    <col min="757" max="757" width="5.7109375" style="2" customWidth="1"/>
    <col min="758" max="758" width="17.42578125" style="2" customWidth="1"/>
    <col min="759" max="760" width="12.7109375" style="2" customWidth="1"/>
    <col min="761" max="761" width="3.7109375" style="2" customWidth="1"/>
    <col min="762" max="762" width="9.5703125" style="2" customWidth="1"/>
    <col min="763" max="765" width="9.85546875" style="2" customWidth="1"/>
    <col min="766" max="1012" width="8.85546875" style="2"/>
    <col min="1013" max="1013" width="5.7109375" style="2" customWidth="1"/>
    <col min="1014" max="1014" width="17.42578125" style="2" customWidth="1"/>
    <col min="1015" max="1016" width="12.7109375" style="2" customWidth="1"/>
    <col min="1017" max="1017" width="3.7109375" style="2" customWidth="1"/>
    <col min="1018" max="1018" width="9.5703125" style="2" customWidth="1"/>
    <col min="1019" max="1021" width="9.85546875" style="2" customWidth="1"/>
    <col min="1022" max="1268" width="8.85546875" style="2"/>
    <col min="1269" max="1269" width="5.7109375" style="2" customWidth="1"/>
    <col min="1270" max="1270" width="17.42578125" style="2" customWidth="1"/>
    <col min="1271" max="1272" width="12.7109375" style="2" customWidth="1"/>
    <col min="1273" max="1273" width="3.7109375" style="2" customWidth="1"/>
    <col min="1274" max="1274" width="9.5703125" style="2" customWidth="1"/>
    <col min="1275" max="1277" width="9.85546875" style="2" customWidth="1"/>
    <col min="1278" max="1524" width="8.85546875" style="2"/>
    <col min="1525" max="1525" width="5.7109375" style="2" customWidth="1"/>
    <col min="1526" max="1526" width="17.42578125" style="2" customWidth="1"/>
    <col min="1527" max="1528" width="12.7109375" style="2" customWidth="1"/>
    <col min="1529" max="1529" width="3.7109375" style="2" customWidth="1"/>
    <col min="1530" max="1530" width="9.5703125" style="2" customWidth="1"/>
    <col min="1531" max="1533" width="9.85546875" style="2" customWidth="1"/>
    <col min="1534" max="1780" width="8.85546875" style="2"/>
    <col min="1781" max="1781" width="5.7109375" style="2" customWidth="1"/>
    <col min="1782" max="1782" width="17.42578125" style="2" customWidth="1"/>
    <col min="1783" max="1784" width="12.7109375" style="2" customWidth="1"/>
    <col min="1785" max="1785" width="3.7109375" style="2" customWidth="1"/>
    <col min="1786" max="1786" width="9.5703125" style="2" customWidth="1"/>
    <col min="1787" max="1789" width="9.85546875" style="2" customWidth="1"/>
    <col min="1790" max="2036" width="8.85546875" style="2"/>
    <col min="2037" max="2037" width="5.7109375" style="2" customWidth="1"/>
    <col min="2038" max="2038" width="17.42578125" style="2" customWidth="1"/>
    <col min="2039" max="2040" width="12.7109375" style="2" customWidth="1"/>
    <col min="2041" max="2041" width="3.7109375" style="2" customWidth="1"/>
    <col min="2042" max="2042" width="9.5703125" style="2" customWidth="1"/>
    <col min="2043" max="2045" width="9.85546875" style="2" customWidth="1"/>
    <col min="2046" max="2292" width="8.85546875" style="2"/>
    <col min="2293" max="2293" width="5.7109375" style="2" customWidth="1"/>
    <col min="2294" max="2294" width="17.42578125" style="2" customWidth="1"/>
    <col min="2295" max="2296" width="12.7109375" style="2" customWidth="1"/>
    <col min="2297" max="2297" width="3.7109375" style="2" customWidth="1"/>
    <col min="2298" max="2298" width="9.5703125" style="2" customWidth="1"/>
    <col min="2299" max="2301" width="9.85546875" style="2" customWidth="1"/>
    <col min="2302" max="2548" width="8.85546875" style="2"/>
    <col min="2549" max="2549" width="5.7109375" style="2" customWidth="1"/>
    <col min="2550" max="2550" width="17.42578125" style="2" customWidth="1"/>
    <col min="2551" max="2552" width="12.7109375" style="2" customWidth="1"/>
    <col min="2553" max="2553" width="3.7109375" style="2" customWidth="1"/>
    <col min="2554" max="2554" width="9.5703125" style="2" customWidth="1"/>
    <col min="2555" max="2557" width="9.85546875" style="2" customWidth="1"/>
    <col min="2558" max="2804" width="8.85546875" style="2"/>
    <col min="2805" max="2805" width="5.7109375" style="2" customWidth="1"/>
    <col min="2806" max="2806" width="17.42578125" style="2" customWidth="1"/>
    <col min="2807" max="2808" width="12.7109375" style="2" customWidth="1"/>
    <col min="2809" max="2809" width="3.7109375" style="2" customWidth="1"/>
    <col min="2810" max="2810" width="9.5703125" style="2" customWidth="1"/>
    <col min="2811" max="2813" width="9.85546875" style="2" customWidth="1"/>
    <col min="2814" max="3060" width="8.85546875" style="2"/>
    <col min="3061" max="3061" width="5.7109375" style="2" customWidth="1"/>
    <col min="3062" max="3062" width="17.42578125" style="2" customWidth="1"/>
    <col min="3063" max="3064" width="12.7109375" style="2" customWidth="1"/>
    <col min="3065" max="3065" width="3.7109375" style="2" customWidth="1"/>
    <col min="3066" max="3066" width="9.5703125" style="2" customWidth="1"/>
    <col min="3067" max="3069" width="9.85546875" style="2" customWidth="1"/>
    <col min="3070" max="3316" width="8.85546875" style="2"/>
    <col min="3317" max="3317" width="5.7109375" style="2" customWidth="1"/>
    <col min="3318" max="3318" width="17.42578125" style="2" customWidth="1"/>
    <col min="3319" max="3320" width="12.7109375" style="2" customWidth="1"/>
    <col min="3321" max="3321" width="3.7109375" style="2" customWidth="1"/>
    <col min="3322" max="3322" width="9.5703125" style="2" customWidth="1"/>
    <col min="3323" max="3325" width="9.85546875" style="2" customWidth="1"/>
    <col min="3326" max="3572" width="8.85546875" style="2"/>
    <col min="3573" max="3573" width="5.7109375" style="2" customWidth="1"/>
    <col min="3574" max="3574" width="17.42578125" style="2" customWidth="1"/>
    <col min="3575" max="3576" width="12.7109375" style="2" customWidth="1"/>
    <col min="3577" max="3577" width="3.7109375" style="2" customWidth="1"/>
    <col min="3578" max="3578" width="9.5703125" style="2" customWidth="1"/>
    <col min="3579" max="3581" width="9.85546875" style="2" customWidth="1"/>
    <col min="3582" max="3828" width="8.85546875" style="2"/>
    <col min="3829" max="3829" width="5.7109375" style="2" customWidth="1"/>
    <col min="3830" max="3830" width="17.42578125" style="2" customWidth="1"/>
    <col min="3831" max="3832" width="12.7109375" style="2" customWidth="1"/>
    <col min="3833" max="3833" width="3.7109375" style="2" customWidth="1"/>
    <col min="3834" max="3834" width="9.5703125" style="2" customWidth="1"/>
    <col min="3835" max="3837" width="9.85546875" style="2" customWidth="1"/>
    <col min="3838" max="4084" width="8.85546875" style="2"/>
    <col min="4085" max="4085" width="5.7109375" style="2" customWidth="1"/>
    <col min="4086" max="4086" width="17.42578125" style="2" customWidth="1"/>
    <col min="4087" max="4088" width="12.7109375" style="2" customWidth="1"/>
    <col min="4089" max="4089" width="3.7109375" style="2" customWidth="1"/>
    <col min="4090" max="4090" width="9.5703125" style="2" customWidth="1"/>
    <col min="4091" max="4093" width="9.85546875" style="2" customWidth="1"/>
    <col min="4094" max="4340" width="8.85546875" style="2"/>
    <col min="4341" max="4341" width="5.7109375" style="2" customWidth="1"/>
    <col min="4342" max="4342" width="17.42578125" style="2" customWidth="1"/>
    <col min="4343" max="4344" width="12.7109375" style="2" customWidth="1"/>
    <col min="4345" max="4345" width="3.7109375" style="2" customWidth="1"/>
    <col min="4346" max="4346" width="9.5703125" style="2" customWidth="1"/>
    <col min="4347" max="4349" width="9.85546875" style="2" customWidth="1"/>
    <col min="4350" max="4596" width="8.85546875" style="2"/>
    <col min="4597" max="4597" width="5.7109375" style="2" customWidth="1"/>
    <col min="4598" max="4598" width="17.42578125" style="2" customWidth="1"/>
    <col min="4599" max="4600" width="12.7109375" style="2" customWidth="1"/>
    <col min="4601" max="4601" width="3.7109375" style="2" customWidth="1"/>
    <col min="4602" max="4602" width="9.5703125" style="2" customWidth="1"/>
    <col min="4603" max="4605" width="9.85546875" style="2" customWidth="1"/>
    <col min="4606" max="4852" width="8.85546875" style="2"/>
    <col min="4853" max="4853" width="5.7109375" style="2" customWidth="1"/>
    <col min="4854" max="4854" width="17.42578125" style="2" customWidth="1"/>
    <col min="4855" max="4856" width="12.7109375" style="2" customWidth="1"/>
    <col min="4857" max="4857" width="3.7109375" style="2" customWidth="1"/>
    <col min="4858" max="4858" width="9.5703125" style="2" customWidth="1"/>
    <col min="4859" max="4861" width="9.85546875" style="2" customWidth="1"/>
    <col min="4862" max="5108" width="8.85546875" style="2"/>
    <col min="5109" max="5109" width="5.7109375" style="2" customWidth="1"/>
    <col min="5110" max="5110" width="17.42578125" style="2" customWidth="1"/>
    <col min="5111" max="5112" width="12.7109375" style="2" customWidth="1"/>
    <col min="5113" max="5113" width="3.7109375" style="2" customWidth="1"/>
    <col min="5114" max="5114" width="9.5703125" style="2" customWidth="1"/>
    <col min="5115" max="5117" width="9.85546875" style="2" customWidth="1"/>
    <col min="5118" max="5364" width="8.85546875" style="2"/>
    <col min="5365" max="5365" width="5.7109375" style="2" customWidth="1"/>
    <col min="5366" max="5366" width="17.42578125" style="2" customWidth="1"/>
    <col min="5367" max="5368" width="12.7109375" style="2" customWidth="1"/>
    <col min="5369" max="5369" width="3.7109375" style="2" customWidth="1"/>
    <col min="5370" max="5370" width="9.5703125" style="2" customWidth="1"/>
    <col min="5371" max="5373" width="9.85546875" style="2" customWidth="1"/>
    <col min="5374" max="5620" width="8.85546875" style="2"/>
    <col min="5621" max="5621" width="5.7109375" style="2" customWidth="1"/>
    <col min="5622" max="5622" width="17.42578125" style="2" customWidth="1"/>
    <col min="5623" max="5624" width="12.7109375" style="2" customWidth="1"/>
    <col min="5625" max="5625" width="3.7109375" style="2" customWidth="1"/>
    <col min="5626" max="5626" width="9.5703125" style="2" customWidth="1"/>
    <col min="5627" max="5629" width="9.85546875" style="2" customWidth="1"/>
    <col min="5630" max="5876" width="8.85546875" style="2"/>
    <col min="5877" max="5877" width="5.7109375" style="2" customWidth="1"/>
    <col min="5878" max="5878" width="17.42578125" style="2" customWidth="1"/>
    <col min="5879" max="5880" width="12.7109375" style="2" customWidth="1"/>
    <col min="5881" max="5881" width="3.7109375" style="2" customWidth="1"/>
    <col min="5882" max="5882" width="9.5703125" style="2" customWidth="1"/>
    <col min="5883" max="5885" width="9.85546875" style="2" customWidth="1"/>
    <col min="5886" max="6132" width="8.85546875" style="2"/>
    <col min="6133" max="6133" width="5.7109375" style="2" customWidth="1"/>
    <col min="6134" max="6134" width="17.42578125" style="2" customWidth="1"/>
    <col min="6135" max="6136" width="12.7109375" style="2" customWidth="1"/>
    <col min="6137" max="6137" width="3.7109375" style="2" customWidth="1"/>
    <col min="6138" max="6138" width="9.5703125" style="2" customWidth="1"/>
    <col min="6139" max="6141" width="9.85546875" style="2" customWidth="1"/>
    <col min="6142" max="6388" width="8.85546875" style="2"/>
    <col min="6389" max="6389" width="5.7109375" style="2" customWidth="1"/>
    <col min="6390" max="6390" width="17.42578125" style="2" customWidth="1"/>
    <col min="6391" max="6392" width="12.7109375" style="2" customWidth="1"/>
    <col min="6393" max="6393" width="3.7109375" style="2" customWidth="1"/>
    <col min="6394" max="6394" width="9.5703125" style="2" customWidth="1"/>
    <col min="6395" max="6397" width="9.85546875" style="2" customWidth="1"/>
    <col min="6398" max="6644" width="8.85546875" style="2"/>
    <col min="6645" max="6645" width="5.7109375" style="2" customWidth="1"/>
    <col min="6646" max="6646" width="17.42578125" style="2" customWidth="1"/>
    <col min="6647" max="6648" width="12.7109375" style="2" customWidth="1"/>
    <col min="6649" max="6649" width="3.7109375" style="2" customWidth="1"/>
    <col min="6650" max="6650" width="9.5703125" style="2" customWidth="1"/>
    <col min="6651" max="6653" width="9.85546875" style="2" customWidth="1"/>
    <col min="6654" max="6900" width="8.85546875" style="2"/>
    <col min="6901" max="6901" width="5.7109375" style="2" customWidth="1"/>
    <col min="6902" max="6902" width="17.42578125" style="2" customWidth="1"/>
    <col min="6903" max="6904" width="12.7109375" style="2" customWidth="1"/>
    <col min="6905" max="6905" width="3.7109375" style="2" customWidth="1"/>
    <col min="6906" max="6906" width="9.5703125" style="2" customWidth="1"/>
    <col min="6907" max="6909" width="9.85546875" style="2" customWidth="1"/>
    <col min="6910" max="7156" width="8.85546875" style="2"/>
    <col min="7157" max="7157" width="5.7109375" style="2" customWidth="1"/>
    <col min="7158" max="7158" width="17.42578125" style="2" customWidth="1"/>
    <col min="7159" max="7160" width="12.7109375" style="2" customWidth="1"/>
    <col min="7161" max="7161" width="3.7109375" style="2" customWidth="1"/>
    <col min="7162" max="7162" width="9.5703125" style="2" customWidth="1"/>
    <col min="7163" max="7165" width="9.85546875" style="2" customWidth="1"/>
    <col min="7166" max="7412" width="8.85546875" style="2"/>
    <col min="7413" max="7413" width="5.7109375" style="2" customWidth="1"/>
    <col min="7414" max="7414" width="17.42578125" style="2" customWidth="1"/>
    <col min="7415" max="7416" width="12.7109375" style="2" customWidth="1"/>
    <col min="7417" max="7417" width="3.7109375" style="2" customWidth="1"/>
    <col min="7418" max="7418" width="9.5703125" style="2" customWidth="1"/>
    <col min="7419" max="7421" width="9.85546875" style="2" customWidth="1"/>
    <col min="7422" max="7668" width="8.85546875" style="2"/>
    <col min="7669" max="7669" width="5.7109375" style="2" customWidth="1"/>
    <col min="7670" max="7670" width="17.42578125" style="2" customWidth="1"/>
    <col min="7671" max="7672" width="12.7109375" style="2" customWidth="1"/>
    <col min="7673" max="7673" width="3.7109375" style="2" customWidth="1"/>
    <col min="7674" max="7674" width="9.5703125" style="2" customWidth="1"/>
    <col min="7675" max="7677" width="9.85546875" style="2" customWidth="1"/>
    <col min="7678" max="7924" width="8.85546875" style="2"/>
    <col min="7925" max="7925" width="5.7109375" style="2" customWidth="1"/>
    <col min="7926" max="7926" width="17.42578125" style="2" customWidth="1"/>
    <col min="7927" max="7928" width="12.7109375" style="2" customWidth="1"/>
    <col min="7929" max="7929" width="3.7109375" style="2" customWidth="1"/>
    <col min="7930" max="7930" width="9.5703125" style="2" customWidth="1"/>
    <col min="7931" max="7933" width="9.85546875" style="2" customWidth="1"/>
    <col min="7934" max="8180" width="8.85546875" style="2"/>
    <col min="8181" max="8181" width="5.7109375" style="2" customWidth="1"/>
    <col min="8182" max="8182" width="17.42578125" style="2" customWidth="1"/>
    <col min="8183" max="8184" width="12.7109375" style="2" customWidth="1"/>
    <col min="8185" max="8185" width="3.7109375" style="2" customWidth="1"/>
    <col min="8186" max="8186" width="9.5703125" style="2" customWidth="1"/>
    <col min="8187" max="8189" width="9.85546875" style="2" customWidth="1"/>
    <col min="8190" max="8436" width="8.85546875" style="2"/>
    <col min="8437" max="8437" width="5.7109375" style="2" customWidth="1"/>
    <col min="8438" max="8438" width="17.42578125" style="2" customWidth="1"/>
    <col min="8439" max="8440" width="12.7109375" style="2" customWidth="1"/>
    <col min="8441" max="8441" width="3.7109375" style="2" customWidth="1"/>
    <col min="8442" max="8442" width="9.5703125" style="2" customWidth="1"/>
    <col min="8443" max="8445" width="9.85546875" style="2" customWidth="1"/>
    <col min="8446" max="8692" width="8.85546875" style="2"/>
    <col min="8693" max="8693" width="5.7109375" style="2" customWidth="1"/>
    <col min="8694" max="8694" width="17.42578125" style="2" customWidth="1"/>
    <col min="8695" max="8696" width="12.7109375" style="2" customWidth="1"/>
    <col min="8697" max="8697" width="3.7109375" style="2" customWidth="1"/>
    <col min="8698" max="8698" width="9.5703125" style="2" customWidth="1"/>
    <col min="8699" max="8701" width="9.85546875" style="2" customWidth="1"/>
    <col min="8702" max="8948" width="8.85546875" style="2"/>
    <col min="8949" max="8949" width="5.7109375" style="2" customWidth="1"/>
    <col min="8950" max="8950" width="17.42578125" style="2" customWidth="1"/>
    <col min="8951" max="8952" width="12.7109375" style="2" customWidth="1"/>
    <col min="8953" max="8953" width="3.7109375" style="2" customWidth="1"/>
    <col min="8954" max="8954" width="9.5703125" style="2" customWidth="1"/>
    <col min="8955" max="8957" width="9.85546875" style="2" customWidth="1"/>
    <col min="8958" max="9204" width="8.85546875" style="2"/>
    <col min="9205" max="9205" width="5.7109375" style="2" customWidth="1"/>
    <col min="9206" max="9206" width="17.42578125" style="2" customWidth="1"/>
    <col min="9207" max="9208" width="12.7109375" style="2" customWidth="1"/>
    <col min="9209" max="9209" width="3.7109375" style="2" customWidth="1"/>
    <col min="9210" max="9210" width="9.5703125" style="2" customWidth="1"/>
    <col min="9211" max="9213" width="9.85546875" style="2" customWidth="1"/>
    <col min="9214" max="9460" width="8.85546875" style="2"/>
    <col min="9461" max="9461" width="5.7109375" style="2" customWidth="1"/>
    <col min="9462" max="9462" width="17.42578125" style="2" customWidth="1"/>
    <col min="9463" max="9464" width="12.7109375" style="2" customWidth="1"/>
    <col min="9465" max="9465" width="3.7109375" style="2" customWidth="1"/>
    <col min="9466" max="9466" width="9.5703125" style="2" customWidth="1"/>
    <col min="9467" max="9469" width="9.85546875" style="2" customWidth="1"/>
    <col min="9470" max="9716" width="8.85546875" style="2"/>
    <col min="9717" max="9717" width="5.7109375" style="2" customWidth="1"/>
    <col min="9718" max="9718" width="17.42578125" style="2" customWidth="1"/>
    <col min="9719" max="9720" width="12.7109375" style="2" customWidth="1"/>
    <col min="9721" max="9721" width="3.7109375" style="2" customWidth="1"/>
    <col min="9722" max="9722" width="9.5703125" style="2" customWidth="1"/>
    <col min="9723" max="9725" width="9.85546875" style="2" customWidth="1"/>
    <col min="9726" max="9972" width="8.85546875" style="2"/>
    <col min="9973" max="9973" width="5.7109375" style="2" customWidth="1"/>
    <col min="9974" max="9974" width="17.42578125" style="2" customWidth="1"/>
    <col min="9975" max="9976" width="12.7109375" style="2" customWidth="1"/>
    <col min="9977" max="9977" width="3.7109375" style="2" customWidth="1"/>
    <col min="9978" max="9978" width="9.5703125" style="2" customWidth="1"/>
    <col min="9979" max="9981" width="9.85546875" style="2" customWidth="1"/>
    <col min="9982" max="10228" width="8.85546875" style="2"/>
    <col min="10229" max="10229" width="5.7109375" style="2" customWidth="1"/>
    <col min="10230" max="10230" width="17.42578125" style="2" customWidth="1"/>
    <col min="10231" max="10232" width="12.7109375" style="2" customWidth="1"/>
    <col min="10233" max="10233" width="3.7109375" style="2" customWidth="1"/>
    <col min="10234" max="10234" width="9.5703125" style="2" customWidth="1"/>
    <col min="10235" max="10237" width="9.85546875" style="2" customWidth="1"/>
    <col min="10238" max="10484" width="8.85546875" style="2"/>
    <col min="10485" max="10485" width="5.7109375" style="2" customWidth="1"/>
    <col min="10486" max="10486" width="17.42578125" style="2" customWidth="1"/>
    <col min="10487" max="10488" width="12.7109375" style="2" customWidth="1"/>
    <col min="10489" max="10489" width="3.7109375" style="2" customWidth="1"/>
    <col min="10490" max="10490" width="9.5703125" style="2" customWidth="1"/>
    <col min="10491" max="10493" width="9.85546875" style="2" customWidth="1"/>
    <col min="10494" max="10740" width="8.85546875" style="2"/>
    <col min="10741" max="10741" width="5.7109375" style="2" customWidth="1"/>
    <col min="10742" max="10742" width="17.42578125" style="2" customWidth="1"/>
    <col min="10743" max="10744" width="12.7109375" style="2" customWidth="1"/>
    <col min="10745" max="10745" width="3.7109375" style="2" customWidth="1"/>
    <col min="10746" max="10746" width="9.5703125" style="2" customWidth="1"/>
    <col min="10747" max="10749" width="9.85546875" style="2" customWidth="1"/>
    <col min="10750" max="10996" width="8.85546875" style="2"/>
    <col min="10997" max="10997" width="5.7109375" style="2" customWidth="1"/>
    <col min="10998" max="10998" width="17.42578125" style="2" customWidth="1"/>
    <col min="10999" max="11000" width="12.7109375" style="2" customWidth="1"/>
    <col min="11001" max="11001" width="3.7109375" style="2" customWidth="1"/>
    <col min="11002" max="11002" width="9.5703125" style="2" customWidth="1"/>
    <col min="11003" max="11005" width="9.85546875" style="2" customWidth="1"/>
    <col min="11006" max="11252" width="8.85546875" style="2"/>
    <col min="11253" max="11253" width="5.7109375" style="2" customWidth="1"/>
    <col min="11254" max="11254" width="17.42578125" style="2" customWidth="1"/>
    <col min="11255" max="11256" width="12.7109375" style="2" customWidth="1"/>
    <col min="11257" max="11257" width="3.7109375" style="2" customWidth="1"/>
    <col min="11258" max="11258" width="9.5703125" style="2" customWidth="1"/>
    <col min="11259" max="11261" width="9.85546875" style="2" customWidth="1"/>
    <col min="11262" max="11508" width="8.85546875" style="2"/>
    <col min="11509" max="11509" width="5.7109375" style="2" customWidth="1"/>
    <col min="11510" max="11510" width="17.42578125" style="2" customWidth="1"/>
    <col min="11511" max="11512" width="12.7109375" style="2" customWidth="1"/>
    <col min="11513" max="11513" width="3.7109375" style="2" customWidth="1"/>
    <col min="11514" max="11514" width="9.5703125" style="2" customWidth="1"/>
    <col min="11515" max="11517" width="9.85546875" style="2" customWidth="1"/>
    <col min="11518" max="11764" width="8.85546875" style="2"/>
    <col min="11765" max="11765" width="5.7109375" style="2" customWidth="1"/>
    <col min="11766" max="11766" width="17.42578125" style="2" customWidth="1"/>
    <col min="11767" max="11768" width="12.7109375" style="2" customWidth="1"/>
    <col min="11769" max="11769" width="3.7109375" style="2" customWidth="1"/>
    <col min="11770" max="11770" width="9.5703125" style="2" customWidth="1"/>
    <col min="11771" max="11773" width="9.85546875" style="2" customWidth="1"/>
    <col min="11774" max="12020" width="8.85546875" style="2"/>
    <col min="12021" max="12021" width="5.7109375" style="2" customWidth="1"/>
    <col min="12022" max="12022" width="17.42578125" style="2" customWidth="1"/>
    <col min="12023" max="12024" width="12.7109375" style="2" customWidth="1"/>
    <col min="12025" max="12025" width="3.7109375" style="2" customWidth="1"/>
    <col min="12026" max="12026" width="9.5703125" style="2" customWidth="1"/>
    <col min="12027" max="12029" width="9.85546875" style="2" customWidth="1"/>
    <col min="12030" max="12276" width="8.85546875" style="2"/>
    <col min="12277" max="12277" width="5.7109375" style="2" customWidth="1"/>
    <col min="12278" max="12278" width="17.42578125" style="2" customWidth="1"/>
    <col min="12279" max="12280" width="12.7109375" style="2" customWidth="1"/>
    <col min="12281" max="12281" width="3.7109375" style="2" customWidth="1"/>
    <col min="12282" max="12282" width="9.5703125" style="2" customWidth="1"/>
    <col min="12283" max="12285" width="9.85546875" style="2" customWidth="1"/>
    <col min="12286" max="12532" width="8.85546875" style="2"/>
    <col min="12533" max="12533" width="5.7109375" style="2" customWidth="1"/>
    <col min="12534" max="12534" width="17.42578125" style="2" customWidth="1"/>
    <col min="12535" max="12536" width="12.7109375" style="2" customWidth="1"/>
    <col min="12537" max="12537" width="3.7109375" style="2" customWidth="1"/>
    <col min="12538" max="12538" width="9.5703125" style="2" customWidth="1"/>
    <col min="12539" max="12541" width="9.85546875" style="2" customWidth="1"/>
    <col min="12542" max="12788" width="8.85546875" style="2"/>
    <col min="12789" max="12789" width="5.7109375" style="2" customWidth="1"/>
    <col min="12790" max="12790" width="17.42578125" style="2" customWidth="1"/>
    <col min="12791" max="12792" width="12.7109375" style="2" customWidth="1"/>
    <col min="12793" max="12793" width="3.7109375" style="2" customWidth="1"/>
    <col min="12794" max="12794" width="9.5703125" style="2" customWidth="1"/>
    <col min="12795" max="12797" width="9.85546875" style="2" customWidth="1"/>
    <col min="12798" max="13044" width="8.85546875" style="2"/>
    <col min="13045" max="13045" width="5.7109375" style="2" customWidth="1"/>
    <col min="13046" max="13046" width="17.42578125" style="2" customWidth="1"/>
    <col min="13047" max="13048" width="12.7109375" style="2" customWidth="1"/>
    <col min="13049" max="13049" width="3.7109375" style="2" customWidth="1"/>
    <col min="13050" max="13050" width="9.5703125" style="2" customWidth="1"/>
    <col min="13051" max="13053" width="9.85546875" style="2" customWidth="1"/>
    <col min="13054" max="13300" width="8.85546875" style="2"/>
    <col min="13301" max="13301" width="5.7109375" style="2" customWidth="1"/>
    <col min="13302" max="13302" width="17.42578125" style="2" customWidth="1"/>
    <col min="13303" max="13304" width="12.7109375" style="2" customWidth="1"/>
    <col min="13305" max="13305" width="3.7109375" style="2" customWidth="1"/>
    <col min="13306" max="13306" width="9.5703125" style="2" customWidth="1"/>
    <col min="13307" max="13309" width="9.85546875" style="2" customWidth="1"/>
    <col min="13310" max="13556" width="8.85546875" style="2"/>
    <col min="13557" max="13557" width="5.7109375" style="2" customWidth="1"/>
    <col min="13558" max="13558" width="17.42578125" style="2" customWidth="1"/>
    <col min="13559" max="13560" width="12.7109375" style="2" customWidth="1"/>
    <col min="13561" max="13561" width="3.7109375" style="2" customWidth="1"/>
    <col min="13562" max="13562" width="9.5703125" style="2" customWidth="1"/>
    <col min="13563" max="13565" width="9.85546875" style="2" customWidth="1"/>
    <col min="13566" max="13812" width="8.85546875" style="2"/>
    <col min="13813" max="13813" width="5.7109375" style="2" customWidth="1"/>
    <col min="13814" max="13814" width="17.42578125" style="2" customWidth="1"/>
    <col min="13815" max="13816" width="12.7109375" style="2" customWidth="1"/>
    <col min="13817" max="13817" width="3.7109375" style="2" customWidth="1"/>
    <col min="13818" max="13818" width="9.5703125" style="2" customWidth="1"/>
    <col min="13819" max="13821" width="9.85546875" style="2" customWidth="1"/>
    <col min="13822" max="14068" width="8.85546875" style="2"/>
    <col min="14069" max="14069" width="5.7109375" style="2" customWidth="1"/>
    <col min="14070" max="14070" width="17.42578125" style="2" customWidth="1"/>
    <col min="14071" max="14072" width="12.7109375" style="2" customWidth="1"/>
    <col min="14073" max="14073" width="3.7109375" style="2" customWidth="1"/>
    <col min="14074" max="14074" width="9.5703125" style="2" customWidth="1"/>
    <col min="14075" max="14077" width="9.85546875" style="2" customWidth="1"/>
    <col min="14078" max="14324" width="8.85546875" style="2"/>
    <col min="14325" max="14325" width="5.7109375" style="2" customWidth="1"/>
    <col min="14326" max="14326" width="17.42578125" style="2" customWidth="1"/>
    <col min="14327" max="14328" width="12.7109375" style="2" customWidth="1"/>
    <col min="14329" max="14329" width="3.7109375" style="2" customWidth="1"/>
    <col min="14330" max="14330" width="9.5703125" style="2" customWidth="1"/>
    <col min="14331" max="14333" width="9.85546875" style="2" customWidth="1"/>
    <col min="14334" max="14580" width="8.85546875" style="2"/>
    <col min="14581" max="14581" width="5.7109375" style="2" customWidth="1"/>
    <col min="14582" max="14582" width="17.42578125" style="2" customWidth="1"/>
    <col min="14583" max="14584" width="12.7109375" style="2" customWidth="1"/>
    <col min="14585" max="14585" width="3.7109375" style="2" customWidth="1"/>
    <col min="14586" max="14586" width="9.5703125" style="2" customWidth="1"/>
    <col min="14587" max="14589" width="9.85546875" style="2" customWidth="1"/>
    <col min="14590" max="14836" width="8.85546875" style="2"/>
    <col min="14837" max="14837" width="5.7109375" style="2" customWidth="1"/>
    <col min="14838" max="14838" width="17.42578125" style="2" customWidth="1"/>
    <col min="14839" max="14840" width="12.7109375" style="2" customWidth="1"/>
    <col min="14841" max="14841" width="3.7109375" style="2" customWidth="1"/>
    <col min="14842" max="14842" width="9.5703125" style="2" customWidth="1"/>
    <col min="14843" max="14845" width="9.85546875" style="2" customWidth="1"/>
    <col min="14846" max="15092" width="8.85546875" style="2"/>
    <col min="15093" max="15093" width="5.7109375" style="2" customWidth="1"/>
    <col min="15094" max="15094" width="17.42578125" style="2" customWidth="1"/>
    <col min="15095" max="15096" width="12.7109375" style="2" customWidth="1"/>
    <col min="15097" max="15097" width="3.7109375" style="2" customWidth="1"/>
    <col min="15098" max="15098" width="9.5703125" style="2" customWidth="1"/>
    <col min="15099" max="15101" width="9.85546875" style="2" customWidth="1"/>
    <col min="15102" max="15348" width="8.85546875" style="2"/>
    <col min="15349" max="15349" width="5.7109375" style="2" customWidth="1"/>
    <col min="15350" max="15350" width="17.42578125" style="2" customWidth="1"/>
    <col min="15351" max="15352" width="12.7109375" style="2" customWidth="1"/>
    <col min="15353" max="15353" width="3.7109375" style="2" customWidth="1"/>
    <col min="15354" max="15354" width="9.5703125" style="2" customWidth="1"/>
    <col min="15355" max="15357" width="9.85546875" style="2" customWidth="1"/>
    <col min="15358" max="15604" width="8.85546875" style="2"/>
    <col min="15605" max="15605" width="5.7109375" style="2" customWidth="1"/>
    <col min="15606" max="15606" width="17.42578125" style="2" customWidth="1"/>
    <col min="15607" max="15608" width="12.7109375" style="2" customWidth="1"/>
    <col min="15609" max="15609" width="3.7109375" style="2" customWidth="1"/>
    <col min="15610" max="15610" width="9.5703125" style="2" customWidth="1"/>
    <col min="15611" max="15613" width="9.85546875" style="2" customWidth="1"/>
    <col min="15614" max="15860" width="8.85546875" style="2"/>
    <col min="15861" max="15861" width="5.7109375" style="2" customWidth="1"/>
    <col min="15862" max="15862" width="17.42578125" style="2" customWidth="1"/>
    <col min="15863" max="15864" width="12.7109375" style="2" customWidth="1"/>
    <col min="15865" max="15865" width="3.7109375" style="2" customWidth="1"/>
    <col min="15866" max="15866" width="9.5703125" style="2" customWidth="1"/>
    <col min="15867" max="15869" width="9.85546875" style="2" customWidth="1"/>
    <col min="15870" max="16116" width="8.85546875" style="2"/>
    <col min="16117" max="16117" width="5.7109375" style="2" customWidth="1"/>
    <col min="16118" max="16118" width="17.42578125" style="2" customWidth="1"/>
    <col min="16119" max="16120" width="12.7109375" style="2" customWidth="1"/>
    <col min="16121" max="16121" width="3.7109375" style="2" customWidth="1"/>
    <col min="16122" max="16122" width="9.5703125" style="2" customWidth="1"/>
    <col min="16123" max="16125" width="9.85546875" style="2" customWidth="1"/>
    <col min="16126" max="16384" width="8.85546875" style="2"/>
  </cols>
  <sheetData>
    <row r="1" spans="1:8" ht="6" customHeight="1" thickBot="1" x14ac:dyDescent="0.3">
      <c r="A1" s="152"/>
      <c r="B1" s="152"/>
      <c r="C1" s="152"/>
      <c r="D1" s="152"/>
      <c r="E1" s="36"/>
      <c r="F1" s="36"/>
      <c r="G1" s="36"/>
      <c r="H1" s="36"/>
    </row>
    <row r="2" spans="1:8" ht="34.5" customHeight="1" thickBot="1" x14ac:dyDescent="0.3">
      <c r="A2" s="153" t="s">
        <v>152</v>
      </c>
      <c r="B2" s="154" t="s">
        <v>184</v>
      </c>
      <c r="C2" s="154" t="s">
        <v>185</v>
      </c>
      <c r="D2" s="154"/>
      <c r="E2" s="155" t="s">
        <v>181</v>
      </c>
      <c r="F2" s="154" t="s">
        <v>186</v>
      </c>
      <c r="G2" s="154" t="s">
        <v>187</v>
      </c>
      <c r="H2" s="154" t="s">
        <v>188</v>
      </c>
    </row>
    <row r="3" spans="1:8" ht="22.15" customHeight="1" thickTop="1" x14ac:dyDescent="0.25">
      <c r="A3" s="156" t="s">
        <v>189</v>
      </c>
      <c r="B3" s="157">
        <v>441.66971901450967</v>
      </c>
      <c r="C3" s="157">
        <v>57.931352609166808</v>
      </c>
      <c r="D3" s="158"/>
      <c r="E3" s="158" t="s">
        <v>190</v>
      </c>
      <c r="F3" s="158"/>
      <c r="G3" s="158"/>
      <c r="H3" s="158"/>
    </row>
    <row r="4" spans="1:8" ht="22.15" customHeight="1" x14ac:dyDescent="0.25">
      <c r="A4" s="52" t="s">
        <v>34</v>
      </c>
      <c r="B4" s="159">
        <v>4.5522850890401871</v>
      </c>
      <c r="C4" s="159">
        <v>1.1057717994711238</v>
      </c>
      <c r="D4" s="158"/>
      <c r="E4" s="160">
        <v>1.2315260012290112E-4</v>
      </c>
      <c r="F4" s="157">
        <v>0.43099999999999999</v>
      </c>
      <c r="G4" s="157">
        <v>0.17245525987998298</v>
      </c>
      <c r="H4" s="167">
        <v>72.996021592669734</v>
      </c>
    </row>
    <row r="5" spans="1:8" ht="22.15" customHeight="1" x14ac:dyDescent="0.25">
      <c r="A5" s="52" t="s">
        <v>148</v>
      </c>
      <c r="B5" s="159">
        <v>-5.6531031541318653</v>
      </c>
      <c r="C5" s="159">
        <v>1.5854012189835169</v>
      </c>
      <c r="D5" s="158"/>
      <c r="E5" s="160">
        <v>7.3487049329940229E-4</v>
      </c>
      <c r="F5" s="157">
        <v>0.56000000000000005</v>
      </c>
      <c r="G5" s="157">
        <v>0.29163124654423572</v>
      </c>
      <c r="H5" s="167">
        <v>67.535659879569891</v>
      </c>
    </row>
    <row r="6" spans="1:8" ht="22.15" customHeight="1" x14ac:dyDescent="0.25">
      <c r="A6" s="169" t="s">
        <v>191</v>
      </c>
      <c r="B6" s="159">
        <v>0.81676918181783142</v>
      </c>
      <c r="C6" s="159">
        <v>0.25576103733715816</v>
      </c>
      <c r="D6" s="158"/>
      <c r="E6" s="159">
        <v>2.2726764249165689E-3</v>
      </c>
      <c r="F6" s="157">
        <v>0.65200000000000002</v>
      </c>
      <c r="G6" s="157">
        <v>0.39596560327856783</v>
      </c>
      <c r="H6" s="167">
        <v>62.364046223107096</v>
      </c>
    </row>
    <row r="7" spans="1:8" ht="22.15" customHeight="1" x14ac:dyDescent="0.25">
      <c r="A7" s="52" t="s">
        <v>43</v>
      </c>
      <c r="B7" s="159">
        <v>-1.2043828687584988</v>
      </c>
      <c r="C7" s="159">
        <v>0.5761170487420838</v>
      </c>
      <c r="D7" s="158"/>
      <c r="E7" s="159">
        <v>4.0964070920457035E-2</v>
      </c>
      <c r="F7" s="157">
        <v>0.68899999999999995</v>
      </c>
      <c r="G7" s="157">
        <v>0.43892148865610758</v>
      </c>
      <c r="H7" s="167">
        <v>60.10564578972339</v>
      </c>
    </row>
    <row r="8" spans="1:8" ht="22.15" customHeight="1" thickBot="1" x14ac:dyDescent="0.3">
      <c r="A8" s="53" t="s">
        <v>41</v>
      </c>
      <c r="B8" s="161">
        <v>0.86670304522619879</v>
      </c>
      <c r="C8" s="161">
        <v>0.41851687425849937</v>
      </c>
      <c r="D8" s="162"/>
      <c r="E8" s="161">
        <v>4.2828829404391998E-2</v>
      </c>
      <c r="F8" s="163">
        <v>0.71499999999999997</v>
      </c>
      <c r="G8" s="163">
        <v>0.46854421851846095</v>
      </c>
      <c r="H8" s="168">
        <v>58.497461143498064</v>
      </c>
    </row>
    <row r="9" spans="1:8" ht="22.15" customHeight="1" x14ac:dyDescent="0.25">
      <c r="A9" s="214" t="s">
        <v>195</v>
      </c>
      <c r="B9" s="214"/>
      <c r="C9" s="214"/>
      <c r="D9" s="214"/>
      <c r="E9" s="214"/>
      <c r="F9" s="214"/>
      <c r="G9" s="214"/>
      <c r="H9" s="214"/>
    </row>
  </sheetData>
  <mergeCells count="1">
    <mergeCell ref="A9:H9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1"/>
  <sheetViews>
    <sheetView showGridLines="0" workbookViewId="0">
      <selection activeCell="F5" sqref="F5"/>
    </sheetView>
  </sheetViews>
  <sheetFormatPr defaultRowHeight="15" x14ac:dyDescent="0.25"/>
  <cols>
    <col min="1" max="1" width="7.85546875" style="144" customWidth="1"/>
    <col min="2" max="2" width="5.7109375" style="145" customWidth="1"/>
    <col min="3" max="3" width="7.140625" style="146" customWidth="1"/>
    <col min="4" max="4" width="7.28515625" style="146" customWidth="1"/>
    <col min="5" max="5" width="6.28515625" style="146" customWidth="1"/>
    <col min="6" max="6" width="8.85546875" style="146" customWidth="1"/>
    <col min="259" max="259" width="7.140625" customWidth="1"/>
    <col min="260" max="260" width="6.28515625" customWidth="1"/>
    <col min="261" max="262" width="6.7109375" customWidth="1"/>
    <col min="515" max="515" width="7.140625" customWidth="1"/>
    <col min="516" max="516" width="6.28515625" customWidth="1"/>
    <col min="517" max="518" width="6.7109375" customWidth="1"/>
    <col min="771" max="771" width="7.140625" customWidth="1"/>
    <col min="772" max="772" width="6.28515625" customWidth="1"/>
    <col min="773" max="774" width="6.7109375" customWidth="1"/>
    <col min="1027" max="1027" width="7.140625" customWidth="1"/>
    <col min="1028" max="1028" width="6.28515625" customWidth="1"/>
    <col min="1029" max="1030" width="6.7109375" customWidth="1"/>
    <col min="1283" max="1283" width="7.140625" customWidth="1"/>
    <col min="1284" max="1284" width="6.28515625" customWidth="1"/>
    <col min="1285" max="1286" width="6.7109375" customWidth="1"/>
    <col min="1539" max="1539" width="7.140625" customWidth="1"/>
    <col min="1540" max="1540" width="6.28515625" customWidth="1"/>
    <col min="1541" max="1542" width="6.7109375" customWidth="1"/>
    <col min="1795" max="1795" width="7.140625" customWidth="1"/>
    <col min="1796" max="1796" width="6.28515625" customWidth="1"/>
    <col min="1797" max="1798" width="6.7109375" customWidth="1"/>
    <col min="2051" max="2051" width="7.140625" customWidth="1"/>
    <col min="2052" max="2052" width="6.28515625" customWidth="1"/>
    <col min="2053" max="2054" width="6.7109375" customWidth="1"/>
    <col min="2307" max="2307" width="7.140625" customWidth="1"/>
    <col min="2308" max="2308" width="6.28515625" customWidth="1"/>
    <col min="2309" max="2310" width="6.7109375" customWidth="1"/>
    <col min="2563" max="2563" width="7.140625" customWidth="1"/>
    <col min="2564" max="2564" width="6.28515625" customWidth="1"/>
    <col min="2565" max="2566" width="6.7109375" customWidth="1"/>
    <col min="2819" max="2819" width="7.140625" customWidth="1"/>
    <col min="2820" max="2820" width="6.28515625" customWidth="1"/>
    <col min="2821" max="2822" width="6.7109375" customWidth="1"/>
    <col min="3075" max="3075" width="7.140625" customWidth="1"/>
    <col min="3076" max="3076" width="6.28515625" customWidth="1"/>
    <col min="3077" max="3078" width="6.7109375" customWidth="1"/>
    <col min="3331" max="3331" width="7.140625" customWidth="1"/>
    <col min="3332" max="3332" width="6.28515625" customWidth="1"/>
    <col min="3333" max="3334" width="6.7109375" customWidth="1"/>
    <col min="3587" max="3587" width="7.140625" customWidth="1"/>
    <col min="3588" max="3588" width="6.28515625" customWidth="1"/>
    <col min="3589" max="3590" width="6.7109375" customWidth="1"/>
    <col min="3843" max="3843" width="7.140625" customWidth="1"/>
    <col min="3844" max="3844" width="6.28515625" customWidth="1"/>
    <col min="3845" max="3846" width="6.7109375" customWidth="1"/>
    <col min="4099" max="4099" width="7.140625" customWidth="1"/>
    <col min="4100" max="4100" width="6.28515625" customWidth="1"/>
    <col min="4101" max="4102" width="6.7109375" customWidth="1"/>
    <col min="4355" max="4355" width="7.140625" customWidth="1"/>
    <col min="4356" max="4356" width="6.28515625" customWidth="1"/>
    <col min="4357" max="4358" width="6.7109375" customWidth="1"/>
    <col min="4611" max="4611" width="7.140625" customWidth="1"/>
    <col min="4612" max="4612" width="6.28515625" customWidth="1"/>
    <col min="4613" max="4614" width="6.7109375" customWidth="1"/>
    <col min="4867" max="4867" width="7.140625" customWidth="1"/>
    <col min="4868" max="4868" width="6.28515625" customWidth="1"/>
    <col min="4869" max="4870" width="6.7109375" customWidth="1"/>
    <col min="5123" max="5123" width="7.140625" customWidth="1"/>
    <col min="5124" max="5124" width="6.28515625" customWidth="1"/>
    <col min="5125" max="5126" width="6.7109375" customWidth="1"/>
    <col min="5379" max="5379" width="7.140625" customWidth="1"/>
    <col min="5380" max="5380" width="6.28515625" customWidth="1"/>
    <col min="5381" max="5382" width="6.7109375" customWidth="1"/>
    <col min="5635" max="5635" width="7.140625" customWidth="1"/>
    <col min="5636" max="5636" width="6.28515625" customWidth="1"/>
    <col min="5637" max="5638" width="6.7109375" customWidth="1"/>
    <col min="5891" max="5891" width="7.140625" customWidth="1"/>
    <col min="5892" max="5892" width="6.28515625" customWidth="1"/>
    <col min="5893" max="5894" width="6.7109375" customWidth="1"/>
    <col min="6147" max="6147" width="7.140625" customWidth="1"/>
    <col min="6148" max="6148" width="6.28515625" customWidth="1"/>
    <col min="6149" max="6150" width="6.7109375" customWidth="1"/>
    <col min="6403" max="6403" width="7.140625" customWidth="1"/>
    <col min="6404" max="6404" width="6.28515625" customWidth="1"/>
    <col min="6405" max="6406" width="6.7109375" customWidth="1"/>
    <col min="6659" max="6659" width="7.140625" customWidth="1"/>
    <col min="6660" max="6660" width="6.28515625" customWidth="1"/>
    <col min="6661" max="6662" width="6.7109375" customWidth="1"/>
    <col min="6915" max="6915" width="7.140625" customWidth="1"/>
    <col min="6916" max="6916" width="6.28515625" customWidth="1"/>
    <col min="6917" max="6918" width="6.7109375" customWidth="1"/>
    <col min="7171" max="7171" width="7.140625" customWidth="1"/>
    <col min="7172" max="7172" width="6.28515625" customWidth="1"/>
    <col min="7173" max="7174" width="6.7109375" customWidth="1"/>
    <col min="7427" max="7427" width="7.140625" customWidth="1"/>
    <col min="7428" max="7428" width="6.28515625" customWidth="1"/>
    <col min="7429" max="7430" width="6.7109375" customWidth="1"/>
    <col min="7683" max="7683" width="7.140625" customWidth="1"/>
    <col min="7684" max="7684" width="6.28515625" customWidth="1"/>
    <col min="7685" max="7686" width="6.7109375" customWidth="1"/>
    <col min="7939" max="7939" width="7.140625" customWidth="1"/>
    <col min="7940" max="7940" width="6.28515625" customWidth="1"/>
    <col min="7941" max="7942" width="6.7109375" customWidth="1"/>
    <col min="8195" max="8195" width="7.140625" customWidth="1"/>
    <col min="8196" max="8196" width="6.28515625" customWidth="1"/>
    <col min="8197" max="8198" width="6.7109375" customWidth="1"/>
    <col min="8451" max="8451" width="7.140625" customWidth="1"/>
    <col min="8452" max="8452" width="6.28515625" customWidth="1"/>
    <col min="8453" max="8454" width="6.7109375" customWidth="1"/>
    <col min="8707" max="8707" width="7.140625" customWidth="1"/>
    <col min="8708" max="8708" width="6.28515625" customWidth="1"/>
    <col min="8709" max="8710" width="6.7109375" customWidth="1"/>
    <col min="8963" max="8963" width="7.140625" customWidth="1"/>
    <col min="8964" max="8964" width="6.28515625" customWidth="1"/>
    <col min="8965" max="8966" width="6.7109375" customWidth="1"/>
    <col min="9219" max="9219" width="7.140625" customWidth="1"/>
    <col min="9220" max="9220" width="6.28515625" customWidth="1"/>
    <col min="9221" max="9222" width="6.7109375" customWidth="1"/>
    <col min="9475" max="9475" width="7.140625" customWidth="1"/>
    <col min="9476" max="9476" width="6.28515625" customWidth="1"/>
    <col min="9477" max="9478" width="6.7109375" customWidth="1"/>
    <col min="9731" max="9731" width="7.140625" customWidth="1"/>
    <col min="9732" max="9732" width="6.28515625" customWidth="1"/>
    <col min="9733" max="9734" width="6.7109375" customWidth="1"/>
    <col min="9987" max="9987" width="7.140625" customWidth="1"/>
    <col min="9988" max="9988" width="6.28515625" customWidth="1"/>
    <col min="9989" max="9990" width="6.7109375" customWidth="1"/>
    <col min="10243" max="10243" width="7.140625" customWidth="1"/>
    <col min="10244" max="10244" width="6.28515625" customWidth="1"/>
    <col min="10245" max="10246" width="6.7109375" customWidth="1"/>
    <col min="10499" max="10499" width="7.140625" customWidth="1"/>
    <col min="10500" max="10500" width="6.28515625" customWidth="1"/>
    <col min="10501" max="10502" width="6.7109375" customWidth="1"/>
    <col min="10755" max="10755" width="7.140625" customWidth="1"/>
    <col min="10756" max="10756" width="6.28515625" customWidth="1"/>
    <col min="10757" max="10758" width="6.7109375" customWidth="1"/>
    <col min="11011" max="11011" width="7.140625" customWidth="1"/>
    <col min="11012" max="11012" width="6.28515625" customWidth="1"/>
    <col min="11013" max="11014" width="6.7109375" customWidth="1"/>
    <col min="11267" max="11267" width="7.140625" customWidth="1"/>
    <col min="11268" max="11268" width="6.28515625" customWidth="1"/>
    <col min="11269" max="11270" width="6.7109375" customWidth="1"/>
    <col min="11523" max="11523" width="7.140625" customWidth="1"/>
    <col min="11524" max="11524" width="6.28515625" customWidth="1"/>
    <col min="11525" max="11526" width="6.7109375" customWidth="1"/>
    <col min="11779" max="11779" width="7.140625" customWidth="1"/>
    <col min="11780" max="11780" width="6.28515625" customWidth="1"/>
    <col min="11781" max="11782" width="6.7109375" customWidth="1"/>
    <col min="12035" max="12035" width="7.140625" customWidth="1"/>
    <col min="12036" max="12036" width="6.28515625" customWidth="1"/>
    <col min="12037" max="12038" width="6.7109375" customWidth="1"/>
    <col min="12291" max="12291" width="7.140625" customWidth="1"/>
    <col min="12292" max="12292" width="6.28515625" customWidth="1"/>
    <col min="12293" max="12294" width="6.7109375" customWidth="1"/>
    <col min="12547" max="12547" width="7.140625" customWidth="1"/>
    <col min="12548" max="12548" width="6.28515625" customWidth="1"/>
    <col min="12549" max="12550" width="6.7109375" customWidth="1"/>
    <col min="12803" max="12803" width="7.140625" customWidth="1"/>
    <col min="12804" max="12804" width="6.28515625" customWidth="1"/>
    <col min="12805" max="12806" width="6.7109375" customWidth="1"/>
    <col min="13059" max="13059" width="7.140625" customWidth="1"/>
    <col min="13060" max="13060" width="6.28515625" customWidth="1"/>
    <col min="13061" max="13062" width="6.7109375" customWidth="1"/>
    <col min="13315" max="13315" width="7.140625" customWidth="1"/>
    <col min="13316" max="13316" width="6.28515625" customWidth="1"/>
    <col min="13317" max="13318" width="6.7109375" customWidth="1"/>
    <col min="13571" max="13571" width="7.140625" customWidth="1"/>
    <col min="13572" max="13572" width="6.28515625" customWidth="1"/>
    <col min="13573" max="13574" width="6.7109375" customWidth="1"/>
    <col min="13827" max="13827" width="7.140625" customWidth="1"/>
    <col min="13828" max="13828" width="6.28515625" customWidth="1"/>
    <col min="13829" max="13830" width="6.7109375" customWidth="1"/>
    <col min="14083" max="14083" width="7.140625" customWidth="1"/>
    <col min="14084" max="14084" width="6.28515625" customWidth="1"/>
    <col min="14085" max="14086" width="6.7109375" customWidth="1"/>
    <col min="14339" max="14339" width="7.140625" customWidth="1"/>
    <col min="14340" max="14340" width="6.28515625" customWidth="1"/>
    <col min="14341" max="14342" width="6.7109375" customWidth="1"/>
    <col min="14595" max="14595" width="7.140625" customWidth="1"/>
    <col min="14596" max="14596" width="6.28515625" customWidth="1"/>
    <col min="14597" max="14598" width="6.7109375" customWidth="1"/>
    <col min="14851" max="14851" width="7.140625" customWidth="1"/>
    <col min="14852" max="14852" width="6.28515625" customWidth="1"/>
    <col min="14853" max="14854" width="6.7109375" customWidth="1"/>
    <col min="15107" max="15107" width="7.140625" customWidth="1"/>
    <col min="15108" max="15108" width="6.28515625" customWidth="1"/>
    <col min="15109" max="15110" width="6.7109375" customWidth="1"/>
    <col min="15363" max="15363" width="7.140625" customWidth="1"/>
    <col min="15364" max="15364" width="6.28515625" customWidth="1"/>
    <col min="15365" max="15366" width="6.7109375" customWidth="1"/>
    <col min="15619" max="15619" width="7.140625" customWidth="1"/>
    <col min="15620" max="15620" width="6.28515625" customWidth="1"/>
    <col min="15621" max="15622" width="6.7109375" customWidth="1"/>
    <col min="15875" max="15875" width="7.140625" customWidth="1"/>
    <col min="15876" max="15876" width="6.28515625" customWidth="1"/>
    <col min="15877" max="15878" width="6.7109375" customWidth="1"/>
    <col min="16131" max="16131" width="7.140625" customWidth="1"/>
    <col min="16132" max="16132" width="6.28515625" customWidth="1"/>
    <col min="16133" max="16134" width="6.7109375" customWidth="1"/>
  </cols>
  <sheetData>
    <row r="1" spans="1:6" ht="15.75" thickBot="1" x14ac:dyDescent="0.3">
      <c r="A1" s="173" t="s">
        <v>100</v>
      </c>
      <c r="B1" s="174" t="s">
        <v>76</v>
      </c>
      <c r="C1" s="175" t="s">
        <v>75</v>
      </c>
      <c r="D1" s="175" t="s">
        <v>81</v>
      </c>
      <c r="E1" s="175" t="s">
        <v>72</v>
      </c>
      <c r="F1" s="176" t="s">
        <v>84</v>
      </c>
    </row>
    <row r="2" spans="1:6" ht="34.5" thickBot="1" x14ac:dyDescent="0.3">
      <c r="A2" s="171" t="s">
        <v>64</v>
      </c>
      <c r="B2" s="189" t="s">
        <v>34</v>
      </c>
      <c r="C2" s="172" t="s">
        <v>192</v>
      </c>
      <c r="D2" s="172" t="s">
        <v>38</v>
      </c>
      <c r="E2" s="172" t="s">
        <v>43</v>
      </c>
      <c r="F2" s="178" t="s">
        <v>41</v>
      </c>
    </row>
    <row r="3" spans="1:6" x14ac:dyDescent="0.25">
      <c r="A3" s="147">
        <v>632</v>
      </c>
      <c r="B3" s="190">
        <v>30</v>
      </c>
      <c r="C3" s="115">
        <v>24.653031409788166</v>
      </c>
      <c r="D3" s="115">
        <v>117</v>
      </c>
      <c r="E3" s="114">
        <v>26</v>
      </c>
      <c r="F3" s="142">
        <v>36</v>
      </c>
    </row>
    <row r="4" spans="1:6" x14ac:dyDescent="0.25">
      <c r="A4" s="147">
        <v>487</v>
      </c>
      <c r="B4" s="190">
        <v>35.6</v>
      </c>
      <c r="C4" s="115">
        <v>31.249999999999993</v>
      </c>
      <c r="D4" s="115">
        <v>45</v>
      </c>
      <c r="E4" s="114">
        <v>63</v>
      </c>
      <c r="F4" s="142">
        <v>56</v>
      </c>
    </row>
    <row r="5" spans="1:6" x14ac:dyDescent="0.25">
      <c r="A5" s="147">
        <v>493</v>
      </c>
      <c r="B5" s="190">
        <v>32.6</v>
      </c>
      <c r="C5" s="115">
        <v>29.296874999999993</v>
      </c>
      <c r="D5" s="115">
        <v>89</v>
      </c>
      <c r="E5" s="114">
        <v>32</v>
      </c>
      <c r="F5" s="142">
        <v>30</v>
      </c>
    </row>
    <row r="6" spans="1:6" x14ac:dyDescent="0.25">
      <c r="A6" s="147">
        <v>399</v>
      </c>
      <c r="B6" s="190">
        <v>16.8</v>
      </c>
      <c r="C6" s="115">
        <v>20.703124999999996</v>
      </c>
      <c r="D6" s="115">
        <v>54</v>
      </c>
      <c r="E6" s="114">
        <v>74</v>
      </c>
      <c r="F6" s="142">
        <v>56</v>
      </c>
    </row>
    <row r="7" spans="1:6" x14ac:dyDescent="0.25">
      <c r="A7" s="147">
        <v>524</v>
      </c>
      <c r="B7" s="190">
        <v>19.8</v>
      </c>
      <c r="C7" s="115">
        <v>17.781971258528088</v>
      </c>
      <c r="D7" s="115">
        <v>62</v>
      </c>
      <c r="E7" s="114">
        <v>42</v>
      </c>
      <c r="F7" s="142">
        <v>57</v>
      </c>
    </row>
    <row r="8" spans="1:6" x14ac:dyDescent="0.25">
      <c r="A8" s="147">
        <v>476</v>
      </c>
      <c r="B8" s="190">
        <v>13.6</v>
      </c>
      <c r="C8" s="115">
        <v>27.005130974885226</v>
      </c>
      <c r="D8" s="115">
        <v>93</v>
      </c>
      <c r="E8" s="114">
        <v>48</v>
      </c>
      <c r="F8" s="142">
        <v>64</v>
      </c>
    </row>
    <row r="9" spans="1:6" x14ac:dyDescent="0.25">
      <c r="A9" s="147">
        <v>523</v>
      </c>
      <c r="B9" s="190">
        <v>21.8</v>
      </c>
      <c r="C9" s="115">
        <v>24.538964901844146</v>
      </c>
      <c r="D9" s="115">
        <v>84</v>
      </c>
      <c r="E9" s="114">
        <v>27</v>
      </c>
      <c r="F9" s="142">
        <v>45</v>
      </c>
    </row>
    <row r="10" spans="1:6" x14ac:dyDescent="0.25">
      <c r="A10" s="147">
        <v>420</v>
      </c>
      <c r="B10" s="190">
        <v>20.2</v>
      </c>
      <c r="C10" s="115">
        <v>29.210109943608259</v>
      </c>
      <c r="D10" s="115">
        <v>117</v>
      </c>
      <c r="E10" s="114">
        <v>37</v>
      </c>
      <c r="F10" s="142">
        <v>55</v>
      </c>
    </row>
    <row r="11" spans="1:6" x14ac:dyDescent="0.25">
      <c r="A11" s="147">
        <v>450</v>
      </c>
      <c r="B11" s="190"/>
      <c r="C11" s="115">
        <v>36.063163054514902</v>
      </c>
      <c r="D11" s="115">
        <v>31</v>
      </c>
      <c r="E11" s="114">
        <v>55</v>
      </c>
      <c r="F11" s="142">
        <v>54</v>
      </c>
    </row>
    <row r="12" spans="1:6" x14ac:dyDescent="0.25">
      <c r="A12" s="147">
        <v>519</v>
      </c>
      <c r="B12" s="190">
        <v>25.6</v>
      </c>
      <c r="C12" s="115">
        <v>22.892819979188342</v>
      </c>
      <c r="D12" s="115">
        <v>31</v>
      </c>
      <c r="E12" s="114">
        <v>49</v>
      </c>
      <c r="F12" s="142">
        <v>39</v>
      </c>
    </row>
    <row r="13" spans="1:6" x14ac:dyDescent="0.25">
      <c r="A13" s="147">
        <v>479</v>
      </c>
      <c r="B13" s="190">
        <v>26.8</v>
      </c>
      <c r="C13" s="115">
        <v>26.23355580417422</v>
      </c>
      <c r="D13" s="115">
        <v>89</v>
      </c>
      <c r="E13" s="114">
        <v>27</v>
      </c>
      <c r="F13" s="142">
        <v>64</v>
      </c>
    </row>
    <row r="14" spans="1:6" x14ac:dyDescent="0.25">
      <c r="A14" s="147">
        <v>540</v>
      </c>
      <c r="B14" s="190">
        <v>19.399999999999999</v>
      </c>
      <c r="C14" s="115">
        <v>22.176497485139457</v>
      </c>
      <c r="D14" s="115">
        <v>58</v>
      </c>
      <c r="E14" s="114">
        <v>30</v>
      </c>
      <c r="F14" s="142">
        <v>48</v>
      </c>
    </row>
    <row r="15" spans="1:6" x14ac:dyDescent="0.25">
      <c r="A15" s="147">
        <v>437</v>
      </c>
      <c r="B15" s="190">
        <v>9.1999999999999993</v>
      </c>
      <c r="C15" s="115">
        <v>22.664359861591699</v>
      </c>
      <c r="D15" s="177"/>
      <c r="E15" s="114">
        <v>55</v>
      </c>
      <c r="F15" s="142"/>
    </row>
    <row r="16" spans="1:6" x14ac:dyDescent="0.25">
      <c r="A16" s="147">
        <v>452</v>
      </c>
      <c r="B16" s="190">
        <v>12.6</v>
      </c>
      <c r="C16" s="115">
        <v>16.601562499999996</v>
      </c>
      <c r="D16" s="115">
        <v>71</v>
      </c>
      <c r="E16" s="114">
        <v>67</v>
      </c>
      <c r="F16" s="142">
        <v>30</v>
      </c>
    </row>
    <row r="17" spans="1:6" x14ac:dyDescent="0.25">
      <c r="A17" s="147">
        <v>497</v>
      </c>
      <c r="B17" s="190">
        <v>23.6</v>
      </c>
      <c r="C17" s="115">
        <v>28.515624999999993</v>
      </c>
      <c r="D17" s="115">
        <v>60</v>
      </c>
      <c r="E17" s="114">
        <v>52</v>
      </c>
      <c r="F17" s="142">
        <v>45</v>
      </c>
    </row>
    <row r="18" spans="1:6" x14ac:dyDescent="0.25">
      <c r="A18" s="147">
        <v>528</v>
      </c>
      <c r="B18" s="190">
        <v>39.200000000000003</v>
      </c>
      <c r="C18" s="115">
        <v>29.968782518210194</v>
      </c>
      <c r="D18" s="115">
        <v>93</v>
      </c>
      <c r="E18" s="114">
        <v>41</v>
      </c>
      <c r="F18" s="142">
        <v>50</v>
      </c>
    </row>
    <row r="19" spans="1:6" x14ac:dyDescent="0.25">
      <c r="A19" s="147">
        <v>300</v>
      </c>
      <c r="B19" s="190">
        <v>17.2</v>
      </c>
      <c r="C19" s="115">
        <v>16.974653755642141</v>
      </c>
      <c r="D19" s="115">
        <v>62</v>
      </c>
      <c r="E19" s="114">
        <v>67</v>
      </c>
      <c r="F19" s="142">
        <v>32</v>
      </c>
    </row>
    <row r="20" spans="1:6" x14ac:dyDescent="0.25">
      <c r="A20" s="147">
        <v>482</v>
      </c>
      <c r="B20" s="190">
        <v>18.2</v>
      </c>
      <c r="C20" s="115">
        <v>24.034609838166958</v>
      </c>
      <c r="D20" s="115">
        <v>82</v>
      </c>
      <c r="E20" s="114">
        <v>50</v>
      </c>
      <c r="F20" s="142"/>
    </row>
    <row r="21" spans="1:6" x14ac:dyDescent="0.25">
      <c r="A21" s="147">
        <v>447</v>
      </c>
      <c r="B21" s="190">
        <v>13.2</v>
      </c>
      <c r="C21" s="115">
        <v>27.580200319349689</v>
      </c>
      <c r="D21" s="115">
        <v>129</v>
      </c>
      <c r="E21" s="114">
        <v>66</v>
      </c>
      <c r="F21" s="142">
        <v>59</v>
      </c>
    </row>
    <row r="22" spans="1:6" x14ac:dyDescent="0.25">
      <c r="A22" s="147">
        <v>426</v>
      </c>
      <c r="B22" s="190">
        <v>22.6</v>
      </c>
      <c r="C22" s="115">
        <v>25.68370986920333</v>
      </c>
      <c r="D22" s="115">
        <v>53</v>
      </c>
      <c r="E22" s="114">
        <v>53</v>
      </c>
      <c r="F22" s="142">
        <v>29</v>
      </c>
    </row>
    <row r="23" spans="1:6" x14ac:dyDescent="0.25">
      <c r="A23" s="147">
        <v>392</v>
      </c>
      <c r="B23" s="190">
        <v>27.8</v>
      </c>
      <c r="C23" s="115">
        <v>25.209201358495854</v>
      </c>
      <c r="D23" s="115">
        <v>71</v>
      </c>
      <c r="E23" s="114">
        <v>63</v>
      </c>
      <c r="F23" s="142">
        <v>50</v>
      </c>
    </row>
    <row r="24" spans="1:6" x14ac:dyDescent="0.25">
      <c r="A24" s="147">
        <v>535</v>
      </c>
      <c r="B24" s="190">
        <v>23.2</v>
      </c>
      <c r="C24" s="115">
        <v>20.775623268698062</v>
      </c>
      <c r="D24" s="115">
        <v>74</v>
      </c>
      <c r="E24" s="114">
        <v>41</v>
      </c>
      <c r="F24" s="142">
        <v>70</v>
      </c>
    </row>
    <row r="25" spans="1:6" x14ac:dyDescent="0.25">
      <c r="A25" s="147">
        <v>549</v>
      </c>
      <c r="B25" s="190">
        <v>33.4</v>
      </c>
      <c r="C25" s="115">
        <v>20.195092211553114</v>
      </c>
      <c r="D25" s="115">
        <v>96</v>
      </c>
      <c r="E25" s="114">
        <v>69</v>
      </c>
      <c r="F25" s="142">
        <v>27</v>
      </c>
    </row>
    <row r="26" spans="1:6" x14ac:dyDescent="0.25">
      <c r="A26" s="147">
        <v>452</v>
      </c>
      <c r="B26" s="190">
        <v>16.8</v>
      </c>
      <c r="C26" s="115">
        <v>20.195578231292519</v>
      </c>
      <c r="D26" s="115">
        <v>86</v>
      </c>
      <c r="E26" s="114">
        <v>61</v>
      </c>
      <c r="F26" s="142">
        <v>40</v>
      </c>
    </row>
    <row r="27" spans="1:6" x14ac:dyDescent="0.25">
      <c r="A27" s="147">
        <v>451</v>
      </c>
      <c r="B27" s="190">
        <v>26.2</v>
      </c>
      <c r="C27" s="115">
        <v>29.340039628105465</v>
      </c>
      <c r="D27" s="115">
        <v>60</v>
      </c>
      <c r="E27" s="114">
        <v>49</v>
      </c>
      <c r="F27" s="142"/>
    </row>
    <row r="28" spans="1:6" x14ac:dyDescent="0.25">
      <c r="A28" s="147">
        <v>375</v>
      </c>
      <c r="B28" s="190">
        <v>26</v>
      </c>
      <c r="C28" s="115">
        <v>25.153150229218223</v>
      </c>
      <c r="D28" s="115">
        <v>40</v>
      </c>
      <c r="E28" s="114">
        <v>36</v>
      </c>
      <c r="F28" s="142">
        <v>67</v>
      </c>
    </row>
    <row r="29" spans="1:6" x14ac:dyDescent="0.25">
      <c r="A29" s="148">
        <v>364</v>
      </c>
      <c r="B29" s="190">
        <v>8.1999999999999993</v>
      </c>
      <c r="C29" s="115">
        <v>24.141519250780433</v>
      </c>
      <c r="D29" s="115">
        <v>63</v>
      </c>
      <c r="E29" s="114">
        <v>74</v>
      </c>
      <c r="F29" s="142">
        <v>64</v>
      </c>
    </row>
    <row r="30" spans="1:6" x14ac:dyDescent="0.25">
      <c r="A30" s="148">
        <v>422</v>
      </c>
      <c r="B30" s="190">
        <v>19.399999999999999</v>
      </c>
      <c r="C30" s="115">
        <v>35.05886426592798</v>
      </c>
      <c r="D30" s="115">
        <v>123</v>
      </c>
      <c r="E30" s="114">
        <v>54</v>
      </c>
      <c r="F30" s="142">
        <v>62</v>
      </c>
    </row>
    <row r="31" spans="1:6" x14ac:dyDescent="0.25">
      <c r="A31" s="148">
        <v>438</v>
      </c>
      <c r="B31" s="190">
        <v>15</v>
      </c>
      <c r="C31" s="115">
        <v>27.688778133776353</v>
      </c>
      <c r="D31" s="115">
        <v>52</v>
      </c>
      <c r="E31" s="114">
        <v>47</v>
      </c>
      <c r="F31" s="142">
        <v>31</v>
      </c>
    </row>
    <row r="32" spans="1:6" x14ac:dyDescent="0.25">
      <c r="A32" s="148">
        <v>535</v>
      </c>
      <c r="B32" s="190"/>
      <c r="C32" s="115">
        <v>30.947022160664819</v>
      </c>
      <c r="D32" s="115">
        <v>129</v>
      </c>
      <c r="E32" s="114">
        <v>58</v>
      </c>
      <c r="F32" s="142">
        <v>48</v>
      </c>
    </row>
    <row r="33" spans="1:6" x14ac:dyDescent="0.25">
      <c r="A33" s="148">
        <v>498</v>
      </c>
      <c r="B33" s="190">
        <v>29.8</v>
      </c>
      <c r="C33" s="115">
        <v>30.457655947153988</v>
      </c>
      <c r="D33" s="115">
        <v>116</v>
      </c>
      <c r="E33" s="114">
        <v>39</v>
      </c>
      <c r="F33" s="142">
        <v>55</v>
      </c>
    </row>
    <row r="34" spans="1:6" x14ac:dyDescent="0.25">
      <c r="A34" s="148">
        <v>264</v>
      </c>
      <c r="B34" s="190">
        <v>6.4</v>
      </c>
      <c r="C34" s="115">
        <v>27.303438382155587</v>
      </c>
      <c r="D34" s="115">
        <v>77</v>
      </c>
      <c r="E34" s="114">
        <v>71</v>
      </c>
      <c r="F34" s="142">
        <v>30</v>
      </c>
    </row>
    <row r="35" spans="1:6" x14ac:dyDescent="0.25">
      <c r="A35" s="148">
        <v>477</v>
      </c>
      <c r="B35" s="190">
        <v>25.3</v>
      </c>
      <c r="C35" s="115">
        <v>26.479181884587291</v>
      </c>
      <c r="D35" s="115">
        <v>91</v>
      </c>
      <c r="E35" s="114">
        <v>57</v>
      </c>
      <c r="F35" s="142">
        <v>37</v>
      </c>
    </row>
    <row r="36" spans="1:6" x14ac:dyDescent="0.25">
      <c r="A36" s="148">
        <v>435</v>
      </c>
      <c r="B36" s="190">
        <v>23</v>
      </c>
      <c r="C36" s="115">
        <v>23.823579018384216</v>
      </c>
      <c r="D36" s="115">
        <v>68</v>
      </c>
      <c r="E36" s="114">
        <v>39</v>
      </c>
      <c r="F36" s="142">
        <v>65</v>
      </c>
    </row>
    <row r="37" spans="1:6" x14ac:dyDescent="0.25">
      <c r="A37" s="148">
        <v>542</v>
      </c>
      <c r="B37" s="190">
        <v>28.2</v>
      </c>
      <c r="C37" s="115">
        <v>19.140624999999996</v>
      </c>
      <c r="D37" s="115">
        <v>118</v>
      </c>
      <c r="E37" s="114">
        <v>26</v>
      </c>
      <c r="F37" s="142">
        <v>34</v>
      </c>
    </row>
    <row r="38" spans="1:6" x14ac:dyDescent="0.25">
      <c r="A38" s="148">
        <v>509</v>
      </c>
      <c r="B38" s="190">
        <v>20</v>
      </c>
      <c r="C38" s="115">
        <v>24.609733700642796</v>
      </c>
      <c r="D38" s="115">
        <v>109</v>
      </c>
      <c r="E38" s="114">
        <v>58</v>
      </c>
      <c r="F38" s="142">
        <v>74</v>
      </c>
    </row>
    <row r="39" spans="1:6" x14ac:dyDescent="0.25">
      <c r="A39" s="148">
        <v>267</v>
      </c>
      <c r="B39" s="190">
        <v>20</v>
      </c>
      <c r="C39" s="115">
        <v>34.343434343434346</v>
      </c>
      <c r="D39" s="115">
        <v>48</v>
      </c>
      <c r="E39" s="114">
        <v>65</v>
      </c>
      <c r="F39" s="142">
        <v>33</v>
      </c>
    </row>
    <row r="40" spans="1:6" x14ac:dyDescent="0.25">
      <c r="A40" s="148">
        <v>352</v>
      </c>
      <c r="B40" s="190">
        <v>13.8</v>
      </c>
      <c r="C40" s="115">
        <v>19.759870525800746</v>
      </c>
      <c r="D40" s="115">
        <v>62</v>
      </c>
      <c r="E40" s="114">
        <v>42</v>
      </c>
      <c r="F40" s="142">
        <v>15</v>
      </c>
    </row>
    <row r="41" spans="1:6" x14ac:dyDescent="0.25">
      <c r="A41" s="148">
        <v>444</v>
      </c>
      <c r="B41" s="190">
        <v>23.6</v>
      </c>
      <c r="C41" s="115">
        <v>29.136316337148799</v>
      </c>
      <c r="D41" s="115">
        <v>112</v>
      </c>
      <c r="E41" s="114">
        <v>53</v>
      </c>
      <c r="F41" s="142">
        <v>37</v>
      </c>
    </row>
    <row r="42" spans="1:6" x14ac:dyDescent="0.25">
      <c r="A42" s="148">
        <v>432</v>
      </c>
      <c r="B42" s="190">
        <v>16.8</v>
      </c>
      <c r="C42" s="115">
        <v>24.86395196096829</v>
      </c>
      <c r="D42" s="115">
        <v>62</v>
      </c>
      <c r="E42" s="114">
        <v>61</v>
      </c>
      <c r="F42" s="142">
        <v>41</v>
      </c>
    </row>
    <row r="43" spans="1:6" x14ac:dyDescent="0.25">
      <c r="A43" s="148">
        <v>480</v>
      </c>
      <c r="B43" s="190">
        <v>26.6</v>
      </c>
      <c r="C43" s="115">
        <v>25.711662075298442</v>
      </c>
      <c r="D43" s="115">
        <v>97</v>
      </c>
      <c r="E43" s="114">
        <v>66</v>
      </c>
      <c r="F43" s="142">
        <v>19</v>
      </c>
    </row>
    <row r="44" spans="1:6" x14ac:dyDescent="0.25">
      <c r="A44" s="148">
        <v>268</v>
      </c>
      <c r="B44" s="190">
        <v>19.600000000000001</v>
      </c>
      <c r="C44" s="115">
        <v>36.160420775805385</v>
      </c>
      <c r="D44" s="115">
        <v>13</v>
      </c>
      <c r="E44" s="114">
        <v>64</v>
      </c>
      <c r="F44" s="142">
        <v>29</v>
      </c>
    </row>
    <row r="45" spans="1:6" x14ac:dyDescent="0.25">
      <c r="A45" s="148">
        <v>438</v>
      </c>
      <c r="B45" s="190">
        <v>21.8</v>
      </c>
      <c r="C45" s="115">
        <v>32.690541781450875</v>
      </c>
      <c r="D45" s="115">
        <v>109</v>
      </c>
      <c r="E45" s="114">
        <v>58</v>
      </c>
      <c r="F45" s="142">
        <v>27</v>
      </c>
    </row>
    <row r="46" spans="1:6" x14ac:dyDescent="0.25">
      <c r="A46" s="147">
        <v>345</v>
      </c>
      <c r="B46" s="190">
        <v>26.6</v>
      </c>
      <c r="C46" s="115">
        <v>33.961296937075481</v>
      </c>
      <c r="D46" s="115">
        <v>49</v>
      </c>
      <c r="E46" s="114">
        <v>39</v>
      </c>
      <c r="F46" s="142">
        <v>70</v>
      </c>
    </row>
    <row r="47" spans="1:6" x14ac:dyDescent="0.25">
      <c r="A47" s="147">
        <v>510</v>
      </c>
      <c r="B47" s="190">
        <v>25.4</v>
      </c>
      <c r="C47" s="115">
        <v>27.734374999999993</v>
      </c>
      <c r="D47" s="115">
        <v>76</v>
      </c>
      <c r="E47" s="114">
        <v>57</v>
      </c>
      <c r="F47" s="142">
        <v>73</v>
      </c>
    </row>
    <row r="48" spans="1:6" x14ac:dyDescent="0.25">
      <c r="A48" s="147">
        <v>330</v>
      </c>
      <c r="B48" s="190">
        <v>17.8</v>
      </c>
      <c r="C48" s="115">
        <v>29.270994027135</v>
      </c>
      <c r="D48" s="115">
        <v>49</v>
      </c>
      <c r="E48" s="114">
        <v>48</v>
      </c>
      <c r="F48" s="142">
        <v>21</v>
      </c>
    </row>
    <row r="49" spans="1:6" x14ac:dyDescent="0.25">
      <c r="A49" s="148">
        <v>391</v>
      </c>
      <c r="B49" s="190">
        <v>13.2</v>
      </c>
      <c r="C49" s="115">
        <v>19.562955254942764</v>
      </c>
      <c r="D49" s="115">
        <v>85</v>
      </c>
      <c r="E49" s="114">
        <v>37</v>
      </c>
      <c r="F49" s="142">
        <v>42</v>
      </c>
    </row>
    <row r="50" spans="1:6" x14ac:dyDescent="0.25">
      <c r="A50" s="148">
        <v>440</v>
      </c>
      <c r="B50" s="190">
        <v>31.8</v>
      </c>
      <c r="C50" s="115">
        <v>30.421849648458629</v>
      </c>
      <c r="D50" s="115">
        <v>108</v>
      </c>
      <c r="E50" s="114">
        <v>53</v>
      </c>
      <c r="F50" s="142">
        <v>88</v>
      </c>
    </row>
    <row r="51" spans="1:6" x14ac:dyDescent="0.25">
      <c r="A51" s="148">
        <v>398</v>
      </c>
      <c r="B51" s="190">
        <v>24.2</v>
      </c>
      <c r="C51" s="115">
        <v>24.349635796045781</v>
      </c>
      <c r="D51" s="115">
        <v>107</v>
      </c>
      <c r="E51" s="114">
        <v>51</v>
      </c>
      <c r="F51" s="142">
        <v>41</v>
      </c>
    </row>
    <row r="52" spans="1:6" x14ac:dyDescent="0.25">
      <c r="A52" s="148">
        <v>479</v>
      </c>
      <c r="B52" s="190">
        <v>21.8</v>
      </c>
      <c r="C52" s="115">
        <v>19.562955254942764</v>
      </c>
      <c r="D52" s="115">
        <v>81</v>
      </c>
      <c r="E52" s="114">
        <v>66</v>
      </c>
      <c r="F52" s="142">
        <v>66</v>
      </c>
    </row>
    <row r="53" spans="1:6" x14ac:dyDescent="0.25">
      <c r="A53" s="148">
        <v>375</v>
      </c>
      <c r="B53" s="190">
        <v>16.600000000000001</v>
      </c>
      <c r="C53" s="115">
        <v>17.998163452708908</v>
      </c>
      <c r="D53" s="115">
        <v>101</v>
      </c>
      <c r="E53" s="114">
        <v>39</v>
      </c>
      <c r="F53" s="142">
        <v>15</v>
      </c>
    </row>
    <row r="54" spans="1:6" x14ac:dyDescent="0.25">
      <c r="A54" s="148">
        <v>360</v>
      </c>
      <c r="B54" s="190">
        <v>11.8</v>
      </c>
      <c r="C54" s="115">
        <v>30.757400999615534</v>
      </c>
      <c r="D54" s="115">
        <v>56</v>
      </c>
      <c r="E54" s="114">
        <v>40</v>
      </c>
      <c r="F54" s="142">
        <v>40</v>
      </c>
    </row>
    <row r="55" spans="1:6" x14ac:dyDescent="0.25">
      <c r="A55" s="148">
        <v>370</v>
      </c>
      <c r="B55" s="190">
        <v>16.600000000000001</v>
      </c>
      <c r="C55" s="115">
        <v>27.76620852422602</v>
      </c>
      <c r="D55" s="115">
        <v>96</v>
      </c>
      <c r="E55" s="114">
        <v>60</v>
      </c>
      <c r="F55" s="142">
        <v>40</v>
      </c>
    </row>
    <row r="56" spans="1:6" x14ac:dyDescent="0.25">
      <c r="A56" s="148">
        <v>592</v>
      </c>
      <c r="B56" s="190">
        <v>18</v>
      </c>
      <c r="C56" s="115">
        <v>19.834710743801654</v>
      </c>
      <c r="D56" s="115">
        <v>98</v>
      </c>
      <c r="E56" s="114">
        <v>23</v>
      </c>
      <c r="F56" s="142">
        <v>76</v>
      </c>
    </row>
    <row r="57" spans="1:6" x14ac:dyDescent="0.25">
      <c r="A57" s="148">
        <v>532</v>
      </c>
      <c r="B57" s="190">
        <v>22.1</v>
      </c>
      <c r="C57" s="115">
        <v>21.227887617065555</v>
      </c>
      <c r="D57" s="115">
        <v>125</v>
      </c>
      <c r="E57" s="114">
        <v>53</v>
      </c>
      <c r="F57" s="142">
        <v>24</v>
      </c>
    </row>
    <row r="58" spans="1:6" x14ac:dyDescent="0.25">
      <c r="A58" s="149">
        <v>384</v>
      </c>
      <c r="B58" s="190">
        <v>9.8000000000000007</v>
      </c>
      <c r="C58" s="115">
        <v>22.666666666666668</v>
      </c>
      <c r="D58" s="115">
        <v>66</v>
      </c>
      <c r="E58" s="114">
        <v>34</v>
      </c>
      <c r="F58" s="142">
        <v>38</v>
      </c>
    </row>
    <row r="59" spans="1:6" x14ac:dyDescent="0.25">
      <c r="A59" s="149">
        <v>465</v>
      </c>
      <c r="B59" s="190">
        <v>15.8</v>
      </c>
      <c r="C59" s="115">
        <v>19.723865877712029</v>
      </c>
      <c r="D59" s="115">
        <v>103</v>
      </c>
      <c r="E59" s="114">
        <v>23</v>
      </c>
      <c r="F59" s="142">
        <v>59</v>
      </c>
    </row>
    <row r="60" spans="1:6" x14ac:dyDescent="0.25">
      <c r="A60" s="149">
        <v>427</v>
      </c>
      <c r="B60" s="190">
        <v>33.200000000000003</v>
      </c>
      <c r="C60" s="115">
        <v>26.42644959685197</v>
      </c>
      <c r="D60" s="115">
        <v>31</v>
      </c>
      <c r="E60" s="114">
        <v>39</v>
      </c>
      <c r="F60" s="142">
        <v>86</v>
      </c>
    </row>
    <row r="61" spans="1:6" x14ac:dyDescent="0.25">
      <c r="A61" s="149">
        <v>470</v>
      </c>
      <c r="B61" s="190">
        <v>26.8</v>
      </c>
      <c r="C61" s="115">
        <v>22.769438353853939</v>
      </c>
      <c r="D61" s="115">
        <v>108</v>
      </c>
      <c r="E61" s="114">
        <v>33</v>
      </c>
      <c r="F61" s="142">
        <v>41</v>
      </c>
    </row>
    <row r="62" spans="1:6" x14ac:dyDescent="0.25">
      <c r="A62" s="149">
        <v>585</v>
      </c>
      <c r="B62" s="190">
        <v>22.5</v>
      </c>
      <c r="C62" s="115">
        <v>19.723865877712029</v>
      </c>
      <c r="D62" s="115">
        <v>121</v>
      </c>
      <c r="E62" s="114">
        <v>41</v>
      </c>
      <c r="F62" s="142">
        <v>51</v>
      </c>
    </row>
    <row r="63" spans="1:6" x14ac:dyDescent="0.25">
      <c r="A63" s="149">
        <v>331</v>
      </c>
      <c r="B63" s="190">
        <v>20.399999999999999</v>
      </c>
      <c r="C63" s="115">
        <v>20.444444444444443</v>
      </c>
      <c r="D63" s="115">
        <v>89</v>
      </c>
      <c r="E63" s="114">
        <v>57</v>
      </c>
      <c r="F63" s="142">
        <v>9</v>
      </c>
    </row>
    <row r="64" spans="1:6" x14ac:dyDescent="0.25">
      <c r="A64" s="149">
        <v>416</v>
      </c>
      <c r="B64" s="190">
        <v>23.6</v>
      </c>
      <c r="C64" s="115">
        <v>21.218317194552675</v>
      </c>
      <c r="D64" s="115">
        <v>133</v>
      </c>
      <c r="E64" s="114">
        <v>54</v>
      </c>
      <c r="F64" s="142">
        <v>42</v>
      </c>
    </row>
    <row r="65" spans="1:6" x14ac:dyDescent="0.25">
      <c r="A65" s="149">
        <v>458</v>
      </c>
      <c r="B65" s="190">
        <v>9.4</v>
      </c>
      <c r="C65" s="115">
        <v>27.681660899653981</v>
      </c>
      <c r="D65" s="115">
        <v>119</v>
      </c>
      <c r="E65" s="114">
        <v>48</v>
      </c>
      <c r="F65" s="142">
        <v>59</v>
      </c>
    </row>
    <row r="66" spans="1:6" x14ac:dyDescent="0.25">
      <c r="A66" s="149">
        <v>495</v>
      </c>
      <c r="B66" s="190">
        <v>34.200000000000003</v>
      </c>
      <c r="C66" s="115">
        <v>25.529644871208653</v>
      </c>
      <c r="D66" s="115">
        <v>87</v>
      </c>
      <c r="E66" s="114">
        <v>49</v>
      </c>
      <c r="F66" s="142">
        <v>79</v>
      </c>
    </row>
    <row r="67" spans="1:6" x14ac:dyDescent="0.25">
      <c r="A67" s="149">
        <v>350</v>
      </c>
      <c r="B67" s="190">
        <v>16.399999999999999</v>
      </c>
      <c r="C67" s="115">
        <v>34.516765285996051</v>
      </c>
      <c r="D67" s="115">
        <v>131</v>
      </c>
      <c r="E67" s="114">
        <v>54</v>
      </c>
      <c r="F67" s="142">
        <v>33</v>
      </c>
    </row>
    <row r="68" spans="1:6" x14ac:dyDescent="0.25">
      <c r="A68" s="149">
        <v>533</v>
      </c>
      <c r="B68" s="190">
        <v>25.8</v>
      </c>
      <c r="C68" s="115">
        <v>22.718974400584202</v>
      </c>
      <c r="D68" s="115">
        <v>77</v>
      </c>
      <c r="E68" s="114">
        <v>41</v>
      </c>
      <c r="F68" s="142">
        <v>44</v>
      </c>
    </row>
    <row r="69" spans="1:6" x14ac:dyDescent="0.25">
      <c r="A69" s="149">
        <v>382</v>
      </c>
      <c r="B69" s="190">
        <v>25.5</v>
      </c>
      <c r="C69" s="115">
        <v>21.096190514828187</v>
      </c>
      <c r="D69" s="115">
        <v>15</v>
      </c>
      <c r="E69" s="114">
        <v>50</v>
      </c>
      <c r="F69" s="142">
        <v>17</v>
      </c>
    </row>
    <row r="70" spans="1:6" x14ac:dyDescent="0.25">
      <c r="A70" s="149">
        <v>498</v>
      </c>
      <c r="B70" s="190">
        <v>15.6</v>
      </c>
      <c r="C70" s="177">
        <v>25.236340330075304</v>
      </c>
      <c r="D70" s="115">
        <v>67</v>
      </c>
      <c r="E70" s="114">
        <v>50</v>
      </c>
      <c r="F70" s="142">
        <v>38</v>
      </c>
    </row>
    <row r="71" spans="1:6" ht="15.75" thickBot="1" x14ac:dyDescent="0.3">
      <c r="A71" s="150">
        <v>482</v>
      </c>
      <c r="B71" s="191">
        <v>20.2</v>
      </c>
      <c r="C71" s="151">
        <v>26.709401709401707</v>
      </c>
      <c r="D71" s="151">
        <v>73</v>
      </c>
      <c r="E71" s="170">
        <v>59</v>
      </c>
      <c r="F71" s="143">
        <v>39</v>
      </c>
    </row>
  </sheetData>
  <autoFilter ref="A2:F71" xr:uid="{00000000-0009-0000-0000-000008000000}"/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79"/>
  <sheetViews>
    <sheetView showGridLines="0" workbookViewId="0">
      <selection activeCell="M14" sqref="M14"/>
    </sheetView>
  </sheetViews>
  <sheetFormatPr defaultColWidth="8.85546875" defaultRowHeight="19.899999999999999" customHeight="1" x14ac:dyDescent="0.25"/>
  <cols>
    <col min="1" max="1" width="21.85546875" style="52" customWidth="1"/>
    <col min="2" max="2" width="4.7109375" style="17" customWidth="1"/>
    <col min="3" max="4" width="7.7109375" style="70" customWidth="1"/>
    <col min="5" max="5" width="7.7109375" style="17" customWidth="1"/>
    <col min="6" max="6" width="5.7109375" style="81" customWidth="1"/>
    <col min="7" max="7" width="0.85546875" style="52" customWidth="1"/>
    <col min="8" max="8" width="5.7109375" style="52" customWidth="1"/>
    <col min="9" max="10" width="7.7109375" style="17" customWidth="1"/>
    <col min="11" max="16384" width="8.85546875" style="17"/>
  </cols>
  <sheetData>
    <row r="1" spans="1:10" ht="6" customHeight="1" thickBot="1" x14ac:dyDescent="0.3">
      <c r="A1" s="53"/>
      <c r="B1" s="55"/>
      <c r="C1" s="59"/>
      <c r="D1" s="59"/>
      <c r="E1" s="71"/>
      <c r="F1" s="72"/>
      <c r="G1" s="105"/>
      <c r="H1" s="73"/>
      <c r="I1" s="55"/>
      <c r="J1" s="55"/>
    </row>
    <row r="2" spans="1:10" ht="19.899999999999999" customHeight="1" thickBot="1" x14ac:dyDescent="0.3">
      <c r="A2" s="60" t="s">
        <v>152</v>
      </c>
      <c r="B2" s="56" t="s">
        <v>153</v>
      </c>
      <c r="C2" s="57" t="s">
        <v>154</v>
      </c>
      <c r="D2" s="57" t="s">
        <v>155</v>
      </c>
      <c r="E2" s="74" t="s">
        <v>156</v>
      </c>
      <c r="F2" s="204" t="s">
        <v>157</v>
      </c>
      <c r="G2" s="204"/>
      <c r="H2" s="204"/>
      <c r="I2" s="56" t="s">
        <v>158</v>
      </c>
      <c r="J2" s="56" t="s">
        <v>159</v>
      </c>
    </row>
    <row r="3" spans="1:10" ht="19.899999999999999" customHeight="1" thickTop="1" x14ac:dyDescent="0.25">
      <c r="A3" s="63" t="s">
        <v>160</v>
      </c>
      <c r="B3" s="64"/>
      <c r="C3" s="67"/>
      <c r="D3" s="67"/>
      <c r="E3" s="75"/>
      <c r="F3" s="76"/>
      <c r="G3" s="106"/>
      <c r="H3" s="77"/>
      <c r="I3" s="64"/>
      <c r="J3" s="64"/>
    </row>
    <row r="4" spans="1:10" ht="19.899999999999999" customHeight="1" x14ac:dyDescent="0.25">
      <c r="A4" s="52" t="s">
        <v>43</v>
      </c>
      <c r="B4" s="58">
        <v>69</v>
      </c>
      <c r="C4" s="82">
        <v>49.420289855072461</v>
      </c>
      <c r="D4" s="82">
        <v>13.054642848992403</v>
      </c>
      <c r="E4" s="78">
        <v>50</v>
      </c>
      <c r="F4" s="79">
        <v>39</v>
      </c>
      <c r="G4" s="107" t="s">
        <v>151</v>
      </c>
      <c r="H4" s="84">
        <v>58.5</v>
      </c>
      <c r="I4" s="78">
        <v>23</v>
      </c>
      <c r="J4" s="78">
        <v>74</v>
      </c>
    </row>
    <row r="5" spans="1:10" ht="19.899999999999999" customHeight="1" x14ac:dyDescent="0.25">
      <c r="A5" s="52" t="s">
        <v>0</v>
      </c>
      <c r="B5" s="58">
        <v>69</v>
      </c>
      <c r="C5" s="82">
        <v>63.952173913043474</v>
      </c>
      <c r="D5" s="82">
        <v>13.380040102547527</v>
      </c>
      <c r="E5" s="78">
        <v>62</v>
      </c>
      <c r="F5" s="79">
        <v>53</v>
      </c>
      <c r="G5" s="107" t="s">
        <v>151</v>
      </c>
      <c r="H5" s="80">
        <v>72</v>
      </c>
      <c r="I5" s="78">
        <v>42.5</v>
      </c>
      <c r="J5" s="78">
        <v>103</v>
      </c>
    </row>
    <row r="6" spans="1:10" ht="19.899999999999999" customHeight="1" x14ac:dyDescent="0.25">
      <c r="A6" s="52" t="s">
        <v>1</v>
      </c>
      <c r="B6" s="58">
        <v>69</v>
      </c>
      <c r="C6" s="68">
        <v>1.5843478260869563</v>
      </c>
      <c r="D6" s="68">
        <v>6.189360560124324E-2</v>
      </c>
      <c r="E6" s="78">
        <v>1.59</v>
      </c>
      <c r="F6" s="88">
        <v>1.55</v>
      </c>
      <c r="G6" s="108" t="s">
        <v>151</v>
      </c>
      <c r="H6" s="89">
        <v>1.62</v>
      </c>
      <c r="I6" s="78">
        <v>1.45</v>
      </c>
      <c r="J6" s="78">
        <v>1.72</v>
      </c>
    </row>
    <row r="7" spans="1:10" ht="19.899999999999999" customHeight="1" x14ac:dyDescent="0.25">
      <c r="A7" s="52" t="s">
        <v>148</v>
      </c>
      <c r="B7" s="58">
        <v>69</v>
      </c>
      <c r="C7" s="82">
        <v>25.449275362318836</v>
      </c>
      <c r="D7" s="82">
        <v>4.8923596853366771</v>
      </c>
      <c r="E7" s="78">
        <v>25.2</v>
      </c>
      <c r="F7" s="87">
        <v>21.15</v>
      </c>
      <c r="G7" s="109" t="s">
        <v>151</v>
      </c>
      <c r="H7" s="84">
        <v>29.15</v>
      </c>
      <c r="I7" s="78">
        <v>16.600000000000001</v>
      </c>
      <c r="J7" s="78">
        <v>36.200000000000003</v>
      </c>
    </row>
    <row r="8" spans="1:10" ht="19.899999999999999" customHeight="1" x14ac:dyDescent="0.25">
      <c r="A8" s="52" t="s">
        <v>34</v>
      </c>
      <c r="B8" s="58">
        <v>67</v>
      </c>
      <c r="C8" s="82">
        <v>21.402985074626866</v>
      </c>
      <c r="D8" s="82">
        <v>7.0368288775050525</v>
      </c>
      <c r="E8" s="78">
        <v>21.8</v>
      </c>
      <c r="F8" s="87">
        <v>16.600000000000001</v>
      </c>
      <c r="G8" s="109" t="s">
        <v>151</v>
      </c>
      <c r="H8" s="84">
        <v>26</v>
      </c>
      <c r="I8" s="78">
        <v>6.4</v>
      </c>
      <c r="J8" s="78">
        <v>39.200000000000003</v>
      </c>
    </row>
    <row r="9" spans="1:10" ht="19.899999999999999" customHeight="1" x14ac:dyDescent="0.25">
      <c r="A9" s="52" t="s">
        <v>150</v>
      </c>
      <c r="B9" s="58">
        <v>67</v>
      </c>
      <c r="C9" s="82">
        <v>20.916417910447759</v>
      </c>
      <c r="D9" s="82">
        <v>11.770463766447357</v>
      </c>
      <c r="E9" s="78">
        <v>19.899999999999999</v>
      </c>
      <c r="F9" s="87">
        <v>14</v>
      </c>
      <c r="G9" s="109" t="s">
        <v>151</v>
      </c>
      <c r="H9" s="84">
        <v>24.4</v>
      </c>
      <c r="I9" s="78">
        <v>1</v>
      </c>
      <c r="J9" s="78">
        <v>61</v>
      </c>
    </row>
    <row r="10" spans="1:10" ht="19.899999999999999" customHeight="1" x14ac:dyDescent="0.25">
      <c r="A10" s="52" t="s">
        <v>35</v>
      </c>
      <c r="B10" s="58">
        <v>69</v>
      </c>
      <c r="C10" s="68">
        <v>0.98862318840579699</v>
      </c>
      <c r="D10" s="68">
        <v>0.81931413392094343</v>
      </c>
      <c r="E10" s="68">
        <v>0.875</v>
      </c>
      <c r="F10" s="88">
        <v>0.3125</v>
      </c>
      <c r="G10" s="108" t="s">
        <v>151</v>
      </c>
      <c r="H10" s="89">
        <v>1.5</v>
      </c>
      <c r="I10" s="78">
        <v>0</v>
      </c>
      <c r="J10" s="78">
        <v>3.6</v>
      </c>
    </row>
    <row r="11" spans="1:10" ht="19.899999999999999" customHeight="1" x14ac:dyDescent="0.25">
      <c r="A11" s="63" t="s">
        <v>161</v>
      </c>
      <c r="B11" s="65"/>
      <c r="C11" s="69"/>
      <c r="D11" s="69"/>
      <c r="E11" s="75"/>
      <c r="F11" s="76"/>
      <c r="G11" s="106"/>
      <c r="H11" s="77"/>
      <c r="I11" s="75"/>
      <c r="J11" s="75"/>
    </row>
    <row r="12" spans="1:10" ht="19.899999999999999" customHeight="1" x14ac:dyDescent="0.25">
      <c r="A12" s="52" t="s">
        <v>36</v>
      </c>
      <c r="B12" s="58">
        <v>68</v>
      </c>
      <c r="C12" s="82">
        <v>75.629411764705878</v>
      </c>
      <c r="D12" s="82">
        <v>19.99890339399257</v>
      </c>
      <c r="E12" s="78">
        <v>78.5</v>
      </c>
      <c r="F12" s="87">
        <v>60.25</v>
      </c>
      <c r="G12" s="109" t="s">
        <v>151</v>
      </c>
      <c r="H12" s="84">
        <v>93</v>
      </c>
      <c r="I12" s="78">
        <v>35</v>
      </c>
      <c r="J12" s="78">
        <v>115</v>
      </c>
    </row>
    <row r="13" spans="1:10" ht="19.899999999999999" customHeight="1" x14ac:dyDescent="0.25">
      <c r="A13" s="52" t="s">
        <v>37</v>
      </c>
      <c r="B13" s="58">
        <v>68</v>
      </c>
      <c r="C13" s="82">
        <v>75.883823529411771</v>
      </c>
      <c r="D13" s="82">
        <v>20.227560703853907</v>
      </c>
      <c r="E13" s="78">
        <v>79</v>
      </c>
      <c r="F13" s="87">
        <v>61.674999999999997</v>
      </c>
      <c r="G13" s="109" t="s">
        <v>151</v>
      </c>
      <c r="H13" s="84">
        <v>90.75</v>
      </c>
      <c r="I13" s="78">
        <v>34</v>
      </c>
      <c r="J13" s="78">
        <v>117</v>
      </c>
    </row>
    <row r="14" spans="1:10" ht="19.899999999999999" customHeight="1" x14ac:dyDescent="0.25">
      <c r="A14" s="52" t="s">
        <v>38</v>
      </c>
      <c r="B14" s="58">
        <v>68</v>
      </c>
      <c r="C14" s="82">
        <v>81.57352941176471</v>
      </c>
      <c r="D14" s="82">
        <v>29.584342458479867</v>
      </c>
      <c r="E14" s="78">
        <v>83</v>
      </c>
      <c r="F14" s="87">
        <v>60.5</v>
      </c>
      <c r="G14" s="109" t="s">
        <v>151</v>
      </c>
      <c r="H14" s="84">
        <v>107.75</v>
      </c>
      <c r="I14" s="78">
        <v>13</v>
      </c>
      <c r="J14" s="78">
        <v>133</v>
      </c>
    </row>
    <row r="15" spans="1:10" ht="19.899999999999999" customHeight="1" x14ac:dyDescent="0.25">
      <c r="A15" s="52" t="s">
        <v>39</v>
      </c>
      <c r="B15" s="58">
        <v>68</v>
      </c>
      <c r="C15" s="68">
        <v>1.0446367647058823</v>
      </c>
      <c r="D15" s="68">
        <v>0.44951579784116558</v>
      </c>
      <c r="E15" s="68">
        <v>0.96199999999999997</v>
      </c>
      <c r="F15" s="88">
        <v>0.74672499999999997</v>
      </c>
      <c r="G15" s="108" t="s">
        <v>151</v>
      </c>
      <c r="H15" s="89">
        <v>1.19225</v>
      </c>
      <c r="I15" s="68">
        <v>0.42599999999999999</v>
      </c>
      <c r="J15" s="82">
        <v>2.7690000000000001</v>
      </c>
    </row>
    <row r="16" spans="1:10" ht="19.899999999999999" customHeight="1" x14ac:dyDescent="0.25">
      <c r="A16" s="52" t="s">
        <v>40</v>
      </c>
      <c r="B16" s="58">
        <v>66</v>
      </c>
      <c r="C16" s="82">
        <v>64.257575757575751</v>
      </c>
      <c r="D16" s="82">
        <v>26.209986708569751</v>
      </c>
      <c r="E16" s="78">
        <v>64.5</v>
      </c>
      <c r="F16" s="87">
        <v>46</v>
      </c>
      <c r="G16" s="109" t="s">
        <v>151</v>
      </c>
      <c r="H16" s="84">
        <v>77.5</v>
      </c>
      <c r="I16" s="78">
        <v>17</v>
      </c>
      <c r="J16" s="78">
        <v>133</v>
      </c>
    </row>
    <row r="17" spans="1:10" ht="19.899999999999999" customHeight="1" x14ac:dyDescent="0.25">
      <c r="A17" s="52" t="s">
        <v>41</v>
      </c>
      <c r="B17" s="58">
        <v>66</v>
      </c>
      <c r="C17" s="82">
        <v>45.984848484848484</v>
      </c>
      <c r="D17" s="82">
        <v>18.066962985381675</v>
      </c>
      <c r="E17" s="78">
        <v>42</v>
      </c>
      <c r="F17" s="87">
        <v>32.75</v>
      </c>
      <c r="G17" s="109" t="s">
        <v>151</v>
      </c>
      <c r="H17" s="84">
        <v>59</v>
      </c>
      <c r="I17" s="78">
        <v>9</v>
      </c>
      <c r="J17" s="78">
        <v>88</v>
      </c>
    </row>
    <row r="18" spans="1:10" ht="19.899999999999999" customHeight="1" x14ac:dyDescent="0.25">
      <c r="A18" s="63" t="s">
        <v>169</v>
      </c>
      <c r="B18" s="65"/>
      <c r="C18" s="69"/>
      <c r="D18" s="69"/>
      <c r="E18" s="75"/>
      <c r="F18" s="76"/>
      <c r="G18" s="106"/>
      <c r="H18" s="77"/>
      <c r="I18" s="75"/>
      <c r="J18" s="75"/>
    </row>
    <row r="19" spans="1:10" ht="19.899999999999999" customHeight="1" x14ac:dyDescent="0.25">
      <c r="A19" s="52" t="s">
        <v>51</v>
      </c>
      <c r="B19" s="58">
        <v>69</v>
      </c>
      <c r="C19" s="82">
        <v>81.608695652173907</v>
      </c>
      <c r="D19" s="82">
        <v>14.617895349540847</v>
      </c>
      <c r="E19" s="78">
        <v>80</v>
      </c>
      <c r="F19" s="79">
        <v>71</v>
      </c>
      <c r="G19" s="107" t="s">
        <v>151</v>
      </c>
      <c r="H19" s="84">
        <v>92.5</v>
      </c>
      <c r="I19" s="78">
        <v>50</v>
      </c>
      <c r="J19" s="78">
        <v>119</v>
      </c>
    </row>
    <row r="20" spans="1:10" ht="19.899999999999999" customHeight="1" x14ac:dyDescent="0.25">
      <c r="A20" s="52" t="s">
        <v>52</v>
      </c>
      <c r="B20" s="58">
        <v>68</v>
      </c>
      <c r="C20" s="82">
        <v>21.588235294117649</v>
      </c>
      <c r="D20" s="82">
        <v>4.636761910906924</v>
      </c>
      <c r="E20" s="78">
        <v>20</v>
      </c>
      <c r="F20" s="79">
        <v>18.5</v>
      </c>
      <c r="G20" s="107" t="s">
        <v>151</v>
      </c>
      <c r="H20" s="80">
        <v>24</v>
      </c>
      <c r="I20" s="78">
        <v>12</v>
      </c>
      <c r="J20" s="78">
        <v>40</v>
      </c>
    </row>
    <row r="21" spans="1:10" ht="19.899999999999999" customHeight="1" x14ac:dyDescent="0.25">
      <c r="A21" s="52" t="s">
        <v>53</v>
      </c>
      <c r="B21" s="58">
        <v>69</v>
      </c>
      <c r="C21" s="83">
        <v>122.60869565217391</v>
      </c>
      <c r="D21" s="83">
        <v>11.119957404838473</v>
      </c>
      <c r="E21" s="78">
        <v>120</v>
      </c>
      <c r="F21" s="79">
        <v>120</v>
      </c>
      <c r="G21" s="107" t="s">
        <v>151</v>
      </c>
      <c r="H21" s="80">
        <v>130</v>
      </c>
      <c r="I21" s="78">
        <v>97</v>
      </c>
      <c r="J21" s="78">
        <v>150</v>
      </c>
    </row>
    <row r="22" spans="1:10" ht="19.899999999999999" customHeight="1" x14ac:dyDescent="0.25">
      <c r="A22" s="52" t="s">
        <v>54</v>
      </c>
      <c r="B22" s="58">
        <v>69</v>
      </c>
      <c r="C22" s="82">
        <v>75.79710144927536</v>
      </c>
      <c r="D22" s="82">
        <v>8.5690615007865691</v>
      </c>
      <c r="E22" s="78">
        <v>80</v>
      </c>
      <c r="F22" s="79">
        <v>70</v>
      </c>
      <c r="G22" s="107" t="s">
        <v>151</v>
      </c>
      <c r="H22" s="80">
        <v>80</v>
      </c>
      <c r="I22" s="78">
        <v>54</v>
      </c>
      <c r="J22" s="78">
        <v>90</v>
      </c>
    </row>
    <row r="23" spans="1:10" ht="19.899999999999999" customHeight="1" x14ac:dyDescent="0.25">
      <c r="A23" s="52" t="s">
        <v>166</v>
      </c>
      <c r="B23" s="58">
        <v>51</v>
      </c>
      <c r="C23" s="82">
        <v>95.490196078431367</v>
      </c>
      <c r="D23" s="82">
        <v>5.3155340240454025</v>
      </c>
      <c r="E23" s="78">
        <v>98</v>
      </c>
      <c r="F23" s="79">
        <v>95</v>
      </c>
      <c r="G23" s="107" t="s">
        <v>151</v>
      </c>
      <c r="H23" s="80">
        <v>99</v>
      </c>
      <c r="I23" s="78">
        <v>71</v>
      </c>
      <c r="J23" s="78">
        <v>99</v>
      </c>
    </row>
    <row r="24" spans="1:10" ht="19.899999999999999" customHeight="1" x14ac:dyDescent="0.25">
      <c r="A24" s="63" t="s">
        <v>170</v>
      </c>
      <c r="B24" s="65"/>
      <c r="C24" s="69"/>
      <c r="D24" s="69"/>
      <c r="E24" s="75"/>
      <c r="F24" s="76"/>
      <c r="G24" s="106"/>
      <c r="H24" s="77"/>
      <c r="I24" s="75"/>
      <c r="J24" s="75"/>
    </row>
    <row r="25" spans="1:10" ht="19.899999999999999" customHeight="1" x14ac:dyDescent="0.25">
      <c r="A25" s="52" t="s">
        <v>56</v>
      </c>
      <c r="B25" s="58">
        <v>69</v>
      </c>
      <c r="C25" s="83">
        <v>116.78260869565217</v>
      </c>
      <c r="D25" s="83">
        <v>20.482323487523832</v>
      </c>
      <c r="E25" s="78">
        <v>117</v>
      </c>
      <c r="F25" s="79">
        <v>102</v>
      </c>
      <c r="G25" s="107" t="s">
        <v>151</v>
      </c>
      <c r="H25" s="80">
        <v>132</v>
      </c>
      <c r="I25" s="78">
        <v>62</v>
      </c>
      <c r="J25" s="78">
        <v>160</v>
      </c>
    </row>
    <row r="26" spans="1:10" ht="19.899999999999999" customHeight="1" x14ac:dyDescent="0.25">
      <c r="A26" s="52" t="s">
        <v>57</v>
      </c>
      <c r="B26" s="58">
        <v>69</v>
      </c>
      <c r="C26" s="82">
        <v>28.231884057971016</v>
      </c>
      <c r="D26" s="82">
        <v>5.8589924036782772</v>
      </c>
      <c r="E26" s="78">
        <v>28</v>
      </c>
      <c r="F26" s="79">
        <v>24</v>
      </c>
      <c r="G26" s="107" t="s">
        <v>151</v>
      </c>
      <c r="H26" s="80">
        <v>32</v>
      </c>
      <c r="I26" s="78">
        <v>18</v>
      </c>
      <c r="J26" s="78">
        <v>44</v>
      </c>
    </row>
    <row r="27" spans="1:10" ht="19.899999999999999" customHeight="1" x14ac:dyDescent="0.25">
      <c r="A27" s="52" t="s">
        <v>58</v>
      </c>
      <c r="B27" s="58">
        <v>69</v>
      </c>
      <c r="C27" s="83">
        <v>135.08695652173913</v>
      </c>
      <c r="D27" s="83">
        <v>14.626465869659601</v>
      </c>
      <c r="E27" s="78">
        <v>130</v>
      </c>
      <c r="F27" s="79">
        <v>130</v>
      </c>
      <c r="G27" s="107" t="s">
        <v>151</v>
      </c>
      <c r="H27" s="80">
        <v>140</v>
      </c>
      <c r="I27" s="78">
        <v>94</v>
      </c>
      <c r="J27" s="78">
        <v>180</v>
      </c>
    </row>
    <row r="28" spans="1:10" ht="19.899999999999999" customHeight="1" x14ac:dyDescent="0.25">
      <c r="A28" s="52" t="s">
        <v>59</v>
      </c>
      <c r="B28" s="58">
        <v>69</v>
      </c>
      <c r="C28" s="82">
        <v>79.608695652173907</v>
      </c>
      <c r="D28" s="82">
        <v>13.365030524496236</v>
      </c>
      <c r="E28" s="78">
        <v>80</v>
      </c>
      <c r="F28" s="79">
        <v>70</v>
      </c>
      <c r="G28" s="107" t="s">
        <v>151</v>
      </c>
      <c r="H28" s="80">
        <v>90</v>
      </c>
      <c r="I28" s="78">
        <v>10</v>
      </c>
      <c r="J28" s="78">
        <v>120</v>
      </c>
    </row>
    <row r="29" spans="1:10" ht="19.899999999999999" customHeight="1" x14ac:dyDescent="0.25">
      <c r="A29" s="95" t="s">
        <v>165</v>
      </c>
      <c r="B29" s="96">
        <v>51</v>
      </c>
      <c r="C29" s="97">
        <v>94.411764705882348</v>
      </c>
      <c r="D29" s="97">
        <v>7.4058800168197045</v>
      </c>
      <c r="E29" s="98">
        <v>97</v>
      </c>
      <c r="F29" s="99">
        <v>94</v>
      </c>
      <c r="G29" s="110" t="s">
        <v>151</v>
      </c>
      <c r="H29" s="100">
        <v>99</v>
      </c>
      <c r="I29" s="98">
        <v>66</v>
      </c>
      <c r="J29" s="98">
        <v>100</v>
      </c>
    </row>
    <row r="30" spans="1:10" ht="19.899999999999999" customHeight="1" thickBot="1" x14ac:dyDescent="0.3">
      <c r="A30" s="181" t="s">
        <v>67</v>
      </c>
      <c r="B30" s="182">
        <v>51</v>
      </c>
      <c r="C30" s="183">
        <v>-0.87352941176470611</v>
      </c>
      <c r="D30" s="183">
        <v>9.20456882717043</v>
      </c>
      <c r="E30" s="184">
        <v>0</v>
      </c>
      <c r="F30" s="185">
        <v>-1.03</v>
      </c>
      <c r="G30" s="186" t="s">
        <v>151</v>
      </c>
      <c r="H30" s="187">
        <v>2.04</v>
      </c>
      <c r="I30" s="188">
        <v>-33.33</v>
      </c>
      <c r="J30" s="188">
        <v>39.44</v>
      </c>
    </row>
    <row r="31" spans="1:10" ht="12" x14ac:dyDescent="0.25">
      <c r="A31" s="209" t="s">
        <v>168</v>
      </c>
      <c r="B31" s="209"/>
      <c r="C31" s="209"/>
      <c r="D31" s="209"/>
      <c r="E31" s="209"/>
      <c r="F31" s="209"/>
      <c r="G31" s="209"/>
      <c r="H31" s="209"/>
      <c r="I31" s="209"/>
      <c r="J31" s="209"/>
    </row>
    <row r="33" spans="1:11" ht="6" customHeight="1" thickBot="1" x14ac:dyDescent="0.3">
      <c r="A33" s="53"/>
      <c r="B33" s="55"/>
      <c r="C33" s="59"/>
      <c r="D33" s="59"/>
      <c r="E33" s="71"/>
      <c r="F33" s="72"/>
      <c r="G33" s="105"/>
      <c r="H33" s="73"/>
      <c r="I33" s="55"/>
      <c r="J33" s="55"/>
    </row>
    <row r="34" spans="1:11" ht="19.899999999999999" customHeight="1" thickBot="1" x14ac:dyDescent="0.3">
      <c r="A34" s="60" t="s">
        <v>152</v>
      </c>
      <c r="B34" s="56" t="s">
        <v>153</v>
      </c>
      <c r="C34" s="57" t="s">
        <v>154</v>
      </c>
      <c r="D34" s="57" t="s">
        <v>155</v>
      </c>
      <c r="E34" s="74" t="s">
        <v>156</v>
      </c>
      <c r="F34" s="204" t="s">
        <v>157</v>
      </c>
      <c r="G34" s="204"/>
      <c r="H34" s="204"/>
      <c r="I34" s="56" t="s">
        <v>158</v>
      </c>
      <c r="J34" s="56" t="s">
        <v>159</v>
      </c>
    </row>
    <row r="35" spans="1:11" ht="19.899999999999999" customHeight="1" thickTop="1" x14ac:dyDescent="0.25">
      <c r="A35" s="63" t="s">
        <v>162</v>
      </c>
      <c r="B35" s="65"/>
      <c r="C35" s="69"/>
      <c r="D35" s="69"/>
      <c r="E35" s="75"/>
      <c r="F35" s="76"/>
      <c r="G35" s="106"/>
      <c r="H35" s="77"/>
      <c r="I35" s="75"/>
      <c r="J35" s="75"/>
    </row>
    <row r="36" spans="1:11" ht="19.899999999999999" customHeight="1" x14ac:dyDescent="0.25">
      <c r="A36" s="52" t="s">
        <v>2</v>
      </c>
      <c r="B36" s="58">
        <v>68</v>
      </c>
      <c r="C36" s="68">
        <v>2.7794117647058822</v>
      </c>
      <c r="D36" s="68">
        <v>2.2249976571196393</v>
      </c>
      <c r="E36" s="78">
        <v>2</v>
      </c>
      <c r="F36" s="79">
        <v>1</v>
      </c>
      <c r="G36" s="107" t="s">
        <v>151</v>
      </c>
      <c r="H36" s="80">
        <v>4</v>
      </c>
      <c r="I36" s="78">
        <v>0</v>
      </c>
      <c r="J36" s="78">
        <v>8</v>
      </c>
    </row>
    <row r="37" spans="1:11" ht="19.899999999999999" customHeight="1" x14ac:dyDescent="0.25">
      <c r="A37" s="52" t="s">
        <v>3</v>
      </c>
      <c r="B37" s="58">
        <v>68</v>
      </c>
      <c r="C37" s="68">
        <v>3.7647058823529411</v>
      </c>
      <c r="D37" s="68">
        <v>2.4562904141755819</v>
      </c>
      <c r="E37" s="78">
        <v>4</v>
      </c>
      <c r="F37" s="79">
        <v>2</v>
      </c>
      <c r="G37" s="107" t="s">
        <v>151</v>
      </c>
      <c r="H37" s="80">
        <v>6</v>
      </c>
      <c r="I37" s="78">
        <v>0</v>
      </c>
      <c r="J37" s="78">
        <v>9</v>
      </c>
    </row>
    <row r="38" spans="1:11" ht="19.899999999999999" customHeight="1" x14ac:dyDescent="0.25">
      <c r="A38" s="52" t="s">
        <v>4</v>
      </c>
      <c r="B38" s="58">
        <v>68</v>
      </c>
      <c r="C38" s="68">
        <v>4.367647058823529</v>
      </c>
      <c r="D38" s="68">
        <v>2.731269519290644</v>
      </c>
      <c r="E38" s="78">
        <v>4</v>
      </c>
      <c r="F38" s="79">
        <v>2</v>
      </c>
      <c r="G38" s="107" t="s">
        <v>151</v>
      </c>
      <c r="H38" s="80">
        <v>6</v>
      </c>
      <c r="I38" s="78">
        <v>0</v>
      </c>
      <c r="J38" s="78">
        <v>10</v>
      </c>
    </row>
    <row r="39" spans="1:11" ht="19.899999999999999" customHeight="1" x14ac:dyDescent="0.25">
      <c r="A39" s="63" t="s">
        <v>163</v>
      </c>
      <c r="B39" s="65"/>
      <c r="C39" s="69"/>
      <c r="D39" s="69"/>
      <c r="E39" s="75"/>
      <c r="F39" s="76"/>
      <c r="G39" s="106"/>
      <c r="H39" s="77"/>
      <c r="I39" s="75"/>
      <c r="J39" s="75"/>
      <c r="K39" s="66"/>
    </row>
    <row r="40" spans="1:11" ht="19.899999999999999" customHeight="1" x14ac:dyDescent="0.25">
      <c r="A40" s="61" t="s">
        <v>64</v>
      </c>
      <c r="B40" s="62">
        <v>69</v>
      </c>
      <c r="C40" s="101">
        <v>446.78260869565219</v>
      </c>
      <c r="D40" s="101">
        <v>78.123369548203797</v>
      </c>
      <c r="E40" s="102">
        <v>451</v>
      </c>
      <c r="F40" s="103">
        <v>391.5</v>
      </c>
      <c r="G40" s="112" t="s">
        <v>151</v>
      </c>
      <c r="H40" s="104">
        <v>498</v>
      </c>
      <c r="I40" s="102">
        <v>264</v>
      </c>
      <c r="J40" s="102">
        <v>632</v>
      </c>
    </row>
    <row r="41" spans="1:11" ht="19.899999999999999" customHeight="1" x14ac:dyDescent="0.25">
      <c r="A41" s="52" t="s">
        <v>167</v>
      </c>
      <c r="B41" s="58">
        <v>69</v>
      </c>
      <c r="C41" s="83">
        <v>554.5797101449275</v>
      </c>
      <c r="D41" s="83">
        <v>47.580089075004231</v>
      </c>
      <c r="E41" s="78">
        <v>548</v>
      </c>
      <c r="F41" s="87">
        <v>521</v>
      </c>
      <c r="G41" s="109" t="s">
        <v>151</v>
      </c>
      <c r="H41" s="84">
        <v>588.5</v>
      </c>
      <c r="I41" s="78">
        <v>465</v>
      </c>
      <c r="J41" s="78">
        <v>672</v>
      </c>
    </row>
    <row r="42" spans="1:11" ht="19.899999999999999" customHeight="1" thickBot="1" x14ac:dyDescent="0.3">
      <c r="A42" s="52" t="s">
        <v>66</v>
      </c>
      <c r="B42" s="58">
        <v>69</v>
      </c>
      <c r="C42" s="82">
        <v>80.471014492753639</v>
      </c>
      <c r="D42" s="82">
        <v>12.960597542611669</v>
      </c>
      <c r="E42" s="78">
        <v>82.5</v>
      </c>
      <c r="F42" s="87">
        <v>71.75</v>
      </c>
      <c r="G42" s="109" t="s">
        <v>151</v>
      </c>
      <c r="H42" s="84">
        <v>89.85</v>
      </c>
      <c r="I42" s="78">
        <v>53.1</v>
      </c>
      <c r="J42" s="78">
        <v>106.7</v>
      </c>
    </row>
    <row r="43" spans="1:11" ht="12" x14ac:dyDescent="0.25">
      <c r="A43" s="209" t="s">
        <v>168</v>
      </c>
      <c r="B43" s="209"/>
      <c r="C43" s="209"/>
      <c r="D43" s="209"/>
      <c r="E43" s="209"/>
      <c r="F43" s="209"/>
      <c r="G43" s="209"/>
      <c r="H43" s="209"/>
      <c r="I43" s="209"/>
      <c r="J43" s="209"/>
    </row>
    <row r="45" spans="1:11" ht="6" customHeight="1" thickBot="1" x14ac:dyDescent="0.3">
      <c r="A45" s="53"/>
      <c r="B45" s="55"/>
      <c r="C45" s="59"/>
      <c r="D45" s="59"/>
      <c r="E45" s="71"/>
      <c r="F45" s="72"/>
      <c r="G45" s="105"/>
      <c r="H45" s="73"/>
      <c r="I45" s="55"/>
      <c r="J45" s="55"/>
    </row>
    <row r="46" spans="1:11" ht="19.899999999999999" customHeight="1" thickBot="1" x14ac:dyDescent="0.3">
      <c r="A46" s="60" t="s">
        <v>152</v>
      </c>
      <c r="B46" s="56" t="s">
        <v>153</v>
      </c>
      <c r="C46" s="57" t="s">
        <v>154</v>
      </c>
      <c r="D46" s="57" t="s">
        <v>155</v>
      </c>
      <c r="E46" s="74" t="s">
        <v>156</v>
      </c>
      <c r="F46" s="204" t="s">
        <v>157</v>
      </c>
      <c r="G46" s="204"/>
      <c r="H46" s="204"/>
      <c r="I46" s="56" t="s">
        <v>158</v>
      </c>
      <c r="J46" s="56" t="s">
        <v>159</v>
      </c>
    </row>
    <row r="47" spans="1:11" ht="19.899999999999999" customHeight="1" thickTop="1" x14ac:dyDescent="0.25">
      <c r="A47" s="63" t="s">
        <v>164</v>
      </c>
      <c r="B47" s="65"/>
      <c r="C47" s="69"/>
      <c r="D47" s="69"/>
      <c r="E47" s="75"/>
      <c r="F47" s="76"/>
      <c r="G47" s="106"/>
      <c r="H47" s="77"/>
      <c r="I47" s="75"/>
      <c r="J47" s="75"/>
    </row>
    <row r="48" spans="1:11" ht="19.899999999999999" customHeight="1" x14ac:dyDescent="0.25">
      <c r="A48" s="52" t="s">
        <v>144</v>
      </c>
      <c r="B48" s="58">
        <v>69</v>
      </c>
      <c r="C48" s="83">
        <v>525.98550724637676</v>
      </c>
      <c r="D48" s="83">
        <v>91.952752054523543</v>
      </c>
      <c r="E48" s="78">
        <v>506</v>
      </c>
      <c r="F48" s="87">
        <v>470.5</v>
      </c>
      <c r="G48" s="109" t="s">
        <v>151</v>
      </c>
      <c r="H48" s="84">
        <v>572</v>
      </c>
      <c r="I48" s="78">
        <v>363</v>
      </c>
      <c r="J48" s="78">
        <v>837</v>
      </c>
    </row>
    <row r="49" spans="1:10" ht="19.899999999999999" customHeight="1" x14ac:dyDescent="0.25">
      <c r="A49" s="52" t="s">
        <v>19</v>
      </c>
      <c r="B49" s="58">
        <v>69</v>
      </c>
      <c r="C49" s="82">
        <v>18.540579710144925</v>
      </c>
      <c r="D49" s="82">
        <v>24.189055126116195</v>
      </c>
      <c r="E49" s="78">
        <v>7.2</v>
      </c>
      <c r="F49" s="85">
        <v>4.8499999999999996</v>
      </c>
      <c r="G49" s="107" t="s">
        <v>151</v>
      </c>
      <c r="H49" s="80">
        <v>20</v>
      </c>
      <c r="I49" s="78">
        <v>1.9</v>
      </c>
      <c r="J49" s="78">
        <v>111.5</v>
      </c>
    </row>
    <row r="50" spans="1:10" ht="19.899999999999999" customHeight="1" x14ac:dyDescent="0.25">
      <c r="A50" s="52" t="s">
        <v>20</v>
      </c>
      <c r="B50" s="58">
        <v>69</v>
      </c>
      <c r="C50" s="82">
        <v>37.094202898550733</v>
      </c>
      <c r="D50" s="82">
        <v>11.347076379843026</v>
      </c>
      <c r="E50" s="78">
        <v>33.4</v>
      </c>
      <c r="F50" s="87">
        <v>27.45</v>
      </c>
      <c r="G50" s="109" t="s">
        <v>151</v>
      </c>
      <c r="H50" s="84">
        <v>46.6</v>
      </c>
      <c r="I50" s="78">
        <v>19.2</v>
      </c>
      <c r="J50" s="78">
        <v>61.4</v>
      </c>
    </row>
    <row r="51" spans="1:10" ht="19.899999999999999" customHeight="1" x14ac:dyDescent="0.25">
      <c r="A51" s="52" t="s">
        <v>21</v>
      </c>
      <c r="B51" s="58">
        <v>69</v>
      </c>
      <c r="C51" s="68">
        <v>-2.6565217391304357</v>
      </c>
      <c r="D51" s="68">
        <v>1.0864185983514778</v>
      </c>
      <c r="E51" s="78">
        <v>-2.8</v>
      </c>
      <c r="F51" s="79">
        <v>-3.3</v>
      </c>
      <c r="G51" s="107" t="s">
        <v>151</v>
      </c>
      <c r="H51" s="80">
        <v>-2.1</v>
      </c>
      <c r="I51" s="78">
        <v>-4.4000000000000004</v>
      </c>
      <c r="J51" s="78">
        <v>0.8</v>
      </c>
    </row>
    <row r="52" spans="1:10" ht="19.899999999999999" customHeight="1" x14ac:dyDescent="0.25">
      <c r="A52" s="52" t="s">
        <v>143</v>
      </c>
      <c r="B52" s="58">
        <v>69</v>
      </c>
      <c r="C52" s="83">
        <v>117.21739130434783</v>
      </c>
      <c r="D52" s="83">
        <v>18.759209162135456</v>
      </c>
      <c r="E52" s="83">
        <v>119</v>
      </c>
      <c r="F52" s="87">
        <v>105</v>
      </c>
      <c r="G52" s="109" t="s">
        <v>151</v>
      </c>
      <c r="H52" s="84">
        <v>127.5</v>
      </c>
      <c r="I52" s="78">
        <v>72</v>
      </c>
      <c r="J52" s="78">
        <v>165</v>
      </c>
    </row>
    <row r="53" spans="1:10" ht="19.899999999999999" customHeight="1" x14ac:dyDescent="0.25">
      <c r="A53" s="52" t="s">
        <v>145</v>
      </c>
      <c r="B53" s="58">
        <v>69</v>
      </c>
      <c r="C53" s="82">
        <v>27.597101449275353</v>
      </c>
      <c r="D53" s="82">
        <v>12.253018487829276</v>
      </c>
      <c r="E53" s="82">
        <v>27.6</v>
      </c>
      <c r="F53" s="87">
        <v>15.8</v>
      </c>
      <c r="G53" s="109" t="s">
        <v>151</v>
      </c>
      <c r="H53" s="84">
        <v>36.700000000000003</v>
      </c>
      <c r="I53" s="78">
        <v>4</v>
      </c>
      <c r="J53" s="78">
        <v>58.6</v>
      </c>
    </row>
    <row r="54" spans="1:10" ht="19.899999999999999" customHeight="1" x14ac:dyDescent="0.25">
      <c r="A54" s="52" t="s">
        <v>146</v>
      </c>
      <c r="B54" s="58">
        <v>69</v>
      </c>
      <c r="C54" s="82">
        <v>62.981159420289849</v>
      </c>
      <c r="D54" s="82">
        <v>11.311424149196906</v>
      </c>
      <c r="E54" s="82">
        <v>66.599999999999994</v>
      </c>
      <c r="F54" s="87">
        <v>54.05</v>
      </c>
      <c r="G54" s="109" t="s">
        <v>151</v>
      </c>
      <c r="H54" s="84">
        <v>72.55</v>
      </c>
      <c r="I54" s="78">
        <v>38.4</v>
      </c>
      <c r="J54" s="78">
        <v>80.8</v>
      </c>
    </row>
    <row r="55" spans="1:10" ht="19.899999999999999" customHeight="1" x14ac:dyDescent="0.25">
      <c r="A55" s="52" t="s">
        <v>24</v>
      </c>
      <c r="B55" s="58">
        <v>69</v>
      </c>
      <c r="C55" s="68">
        <v>6.7826086956521729</v>
      </c>
      <c r="D55" s="68">
        <v>3.1544532723707177</v>
      </c>
      <c r="E55" s="78">
        <v>6.5</v>
      </c>
      <c r="F55" s="85">
        <v>4.45</v>
      </c>
      <c r="G55" s="111" t="s">
        <v>151</v>
      </c>
      <c r="H55" s="86">
        <v>9.1499999999999986</v>
      </c>
      <c r="I55" s="78">
        <v>-0.3</v>
      </c>
      <c r="J55" s="78">
        <v>13.2</v>
      </c>
    </row>
    <row r="56" spans="1:10" ht="19.899999999999999" customHeight="1" x14ac:dyDescent="0.25">
      <c r="A56" s="52" t="s">
        <v>16</v>
      </c>
      <c r="B56" s="58">
        <v>69</v>
      </c>
      <c r="C56" s="83">
        <v>525.98550724637676</v>
      </c>
      <c r="D56" s="83">
        <v>91.952752054523543</v>
      </c>
      <c r="E56" s="78">
        <v>506</v>
      </c>
      <c r="F56" s="87">
        <v>470.5</v>
      </c>
      <c r="G56" s="109" t="s">
        <v>151</v>
      </c>
      <c r="H56" s="84">
        <v>572</v>
      </c>
      <c r="I56" s="78">
        <v>363</v>
      </c>
      <c r="J56" s="78">
        <v>837</v>
      </c>
    </row>
    <row r="57" spans="1:10" ht="19.899999999999999" customHeight="1" x14ac:dyDescent="0.25">
      <c r="A57" s="52" t="s">
        <v>141</v>
      </c>
      <c r="B57" s="58">
        <v>69</v>
      </c>
      <c r="C57" s="83">
        <v>117.47826086956522</v>
      </c>
      <c r="D57" s="83">
        <v>19.13159436150838</v>
      </c>
      <c r="E57" s="78">
        <v>119</v>
      </c>
      <c r="F57" s="87">
        <v>105</v>
      </c>
      <c r="G57" s="109" t="s">
        <v>151</v>
      </c>
      <c r="H57" s="84">
        <v>127.5</v>
      </c>
      <c r="I57" s="78">
        <v>72</v>
      </c>
      <c r="J57" s="78">
        <v>165</v>
      </c>
    </row>
    <row r="58" spans="1:10" ht="19.899999999999999" customHeight="1" x14ac:dyDescent="0.25">
      <c r="A58" s="52" t="s">
        <v>140</v>
      </c>
      <c r="B58" s="58">
        <v>69</v>
      </c>
      <c r="C58" s="82">
        <v>86.391304347826093</v>
      </c>
      <c r="D58" s="82">
        <v>15.734205330785038</v>
      </c>
      <c r="E58" s="78">
        <v>87</v>
      </c>
      <c r="F58" s="87">
        <v>77</v>
      </c>
      <c r="G58" s="109" t="s">
        <v>151</v>
      </c>
      <c r="H58" s="84">
        <v>97.5</v>
      </c>
      <c r="I58" s="78">
        <v>45</v>
      </c>
      <c r="J58" s="78">
        <v>123</v>
      </c>
    </row>
    <row r="59" spans="1:10" ht="19.899999999999999" customHeight="1" x14ac:dyDescent="0.25">
      <c r="A59" s="52" t="s">
        <v>142</v>
      </c>
      <c r="B59" s="58">
        <v>69</v>
      </c>
      <c r="C59" s="83">
        <v>133.53623188405797</v>
      </c>
      <c r="D59" s="83">
        <v>24.483235386775632</v>
      </c>
      <c r="E59" s="78">
        <v>130</v>
      </c>
      <c r="F59" s="79">
        <v>117</v>
      </c>
      <c r="G59" s="107" t="s">
        <v>151</v>
      </c>
      <c r="H59" s="80">
        <v>144</v>
      </c>
      <c r="I59" s="78">
        <v>88</v>
      </c>
      <c r="J59" s="78">
        <v>215</v>
      </c>
    </row>
    <row r="60" spans="1:10" ht="19.899999999999999" customHeight="1" x14ac:dyDescent="0.25">
      <c r="A60" s="52" t="s">
        <v>5</v>
      </c>
      <c r="B60" s="58">
        <v>69</v>
      </c>
      <c r="C60" s="82">
        <v>17.623188405797102</v>
      </c>
      <c r="D60" s="82">
        <v>23.910003720615848</v>
      </c>
      <c r="E60" s="78">
        <v>8.5</v>
      </c>
      <c r="F60" s="85">
        <v>5.75</v>
      </c>
      <c r="G60" s="111" t="s">
        <v>151</v>
      </c>
      <c r="H60" s="84">
        <v>16.05</v>
      </c>
      <c r="I60" s="78">
        <v>2</v>
      </c>
      <c r="J60" s="78">
        <v>142.4</v>
      </c>
    </row>
    <row r="61" spans="1:10" ht="19.899999999999999" customHeight="1" x14ac:dyDescent="0.25">
      <c r="A61" s="52" t="s">
        <v>6</v>
      </c>
      <c r="B61" s="58">
        <v>69</v>
      </c>
      <c r="C61" s="82">
        <v>18.540579710144925</v>
      </c>
      <c r="D61" s="82">
        <v>24.189055126116195</v>
      </c>
      <c r="E61" s="78">
        <v>7.2</v>
      </c>
      <c r="F61" s="85">
        <v>4.8499999999999996</v>
      </c>
      <c r="G61" s="107" t="s">
        <v>151</v>
      </c>
      <c r="H61" s="80">
        <v>20</v>
      </c>
      <c r="I61" s="78">
        <v>1.9</v>
      </c>
      <c r="J61" s="78">
        <v>111.5</v>
      </c>
    </row>
    <row r="62" spans="1:10" ht="19.899999999999999" customHeight="1" x14ac:dyDescent="0.25">
      <c r="A62" s="52" t="s">
        <v>139</v>
      </c>
      <c r="B62" s="58">
        <v>69</v>
      </c>
      <c r="C62" s="82">
        <v>24.55072463768116</v>
      </c>
      <c r="D62" s="82">
        <v>55.619647457447158</v>
      </c>
      <c r="E62" s="78">
        <v>2</v>
      </c>
      <c r="F62" s="79">
        <v>0</v>
      </c>
      <c r="G62" s="107" t="s">
        <v>151</v>
      </c>
      <c r="H62" s="80">
        <v>9.5</v>
      </c>
      <c r="I62" s="78">
        <v>0</v>
      </c>
      <c r="J62" s="78">
        <v>265</v>
      </c>
    </row>
    <row r="63" spans="1:10" ht="19.899999999999999" customHeight="1" x14ac:dyDescent="0.25">
      <c r="A63" s="52" t="s">
        <v>7</v>
      </c>
      <c r="B63" s="58">
        <v>69</v>
      </c>
      <c r="C63" s="68">
        <v>4.3376811594202902</v>
      </c>
      <c r="D63" s="68">
        <v>9.9325090344975333</v>
      </c>
      <c r="E63" s="78">
        <v>0.2</v>
      </c>
      <c r="F63" s="79">
        <v>0</v>
      </c>
      <c r="G63" s="107" t="s">
        <v>151</v>
      </c>
      <c r="H63" s="86">
        <v>1.65</v>
      </c>
      <c r="I63" s="78">
        <v>0</v>
      </c>
      <c r="J63" s="78">
        <v>44.1</v>
      </c>
    </row>
    <row r="64" spans="1:10" ht="19.899999999999999" customHeight="1" x14ac:dyDescent="0.25">
      <c r="A64" s="52" t="s">
        <v>25</v>
      </c>
      <c r="B64" s="58">
        <v>69</v>
      </c>
      <c r="C64" s="68">
        <v>2.7739130434782608</v>
      </c>
      <c r="D64" s="68">
        <v>2.6136323706286535</v>
      </c>
      <c r="E64" s="78">
        <v>2.1</v>
      </c>
      <c r="F64" s="79">
        <v>1.7</v>
      </c>
      <c r="G64" s="107" t="s">
        <v>151</v>
      </c>
      <c r="H64" s="80">
        <v>3</v>
      </c>
      <c r="I64" s="78">
        <v>1.3</v>
      </c>
      <c r="J64" s="78">
        <v>20.2</v>
      </c>
    </row>
    <row r="65" spans="1:10" ht="19.899999999999999" customHeight="1" x14ac:dyDescent="0.25">
      <c r="A65" s="52" t="s">
        <v>27</v>
      </c>
      <c r="B65" s="58">
        <v>69</v>
      </c>
      <c r="C65" s="83">
        <v>130.30434782608697</v>
      </c>
      <c r="D65" s="83">
        <v>125.81023342224427</v>
      </c>
      <c r="E65" s="78">
        <v>77</v>
      </c>
      <c r="F65" s="79">
        <v>51</v>
      </c>
      <c r="G65" s="107" t="s">
        <v>151</v>
      </c>
      <c r="H65" s="80">
        <v>186</v>
      </c>
      <c r="I65" s="78">
        <v>11</v>
      </c>
      <c r="J65" s="78">
        <v>687</v>
      </c>
    </row>
    <row r="66" spans="1:10" ht="19.899999999999999" customHeight="1" x14ac:dyDescent="0.25">
      <c r="A66" s="52" t="s">
        <v>26</v>
      </c>
      <c r="B66" s="58">
        <v>69</v>
      </c>
      <c r="C66" s="82">
        <v>27.597101449275353</v>
      </c>
      <c r="D66" s="82">
        <v>12.253018487829276</v>
      </c>
      <c r="E66" s="78">
        <v>27.6</v>
      </c>
      <c r="F66" s="87">
        <v>15.8</v>
      </c>
      <c r="G66" s="109" t="s">
        <v>151</v>
      </c>
      <c r="H66" s="84">
        <v>36.700000000000003</v>
      </c>
      <c r="I66" s="78">
        <v>4</v>
      </c>
      <c r="J66" s="78">
        <v>58.6</v>
      </c>
    </row>
    <row r="67" spans="1:10" ht="19.899999999999999" customHeight="1" x14ac:dyDescent="0.25">
      <c r="A67" s="52" t="s">
        <v>8</v>
      </c>
      <c r="B67" s="58">
        <v>69</v>
      </c>
      <c r="C67" s="82">
        <v>13.12753623188406</v>
      </c>
      <c r="D67" s="82">
        <v>17.11048770283346</v>
      </c>
      <c r="E67" s="78">
        <v>5.0999999999999996</v>
      </c>
      <c r="F67" s="79">
        <v>3.4</v>
      </c>
      <c r="G67" s="107" t="s">
        <v>151</v>
      </c>
      <c r="H67" s="86">
        <v>14.149999999999999</v>
      </c>
      <c r="I67" s="78">
        <v>1.4</v>
      </c>
      <c r="J67" s="78">
        <v>78.900000000000006</v>
      </c>
    </row>
    <row r="68" spans="1:10" ht="19.899999999999999" customHeight="1" x14ac:dyDescent="0.25">
      <c r="A68" s="52" t="s">
        <v>28</v>
      </c>
      <c r="B68" s="58">
        <v>69</v>
      </c>
      <c r="C68" s="82">
        <v>20.27391304347826</v>
      </c>
      <c r="D68" s="82">
        <v>29.815992807719386</v>
      </c>
      <c r="E68" s="78">
        <v>10.9</v>
      </c>
      <c r="F68" s="79">
        <v>7.1</v>
      </c>
      <c r="G68" s="107" t="s">
        <v>151</v>
      </c>
      <c r="H68" s="86">
        <v>18.25</v>
      </c>
      <c r="I68" s="78">
        <v>2.5</v>
      </c>
      <c r="J68" s="78">
        <v>190.7</v>
      </c>
    </row>
    <row r="69" spans="1:10" ht="19.899999999999999" customHeight="1" x14ac:dyDescent="0.25">
      <c r="A69" s="52" t="s">
        <v>29</v>
      </c>
      <c r="B69" s="58">
        <v>69</v>
      </c>
      <c r="C69" s="68">
        <v>1.9391304347826084</v>
      </c>
      <c r="D69" s="68">
        <v>0.83617078738601558</v>
      </c>
      <c r="E69" s="78">
        <v>2</v>
      </c>
      <c r="F69" s="85">
        <v>1.1499999999999999</v>
      </c>
      <c r="G69" s="107" t="s">
        <v>151</v>
      </c>
      <c r="H69" s="86">
        <v>2.6500000000000004</v>
      </c>
      <c r="I69" s="78">
        <v>0.6</v>
      </c>
      <c r="J69" s="78">
        <v>4.2</v>
      </c>
    </row>
    <row r="70" spans="1:10" ht="19.899999999999999" customHeight="1" x14ac:dyDescent="0.25">
      <c r="A70" s="52" t="s">
        <v>30</v>
      </c>
      <c r="B70" s="58">
        <v>69</v>
      </c>
      <c r="C70" s="68">
        <v>1.1028985507246376</v>
      </c>
      <c r="D70" s="68">
        <v>0.29554088723437316</v>
      </c>
      <c r="E70" s="78">
        <v>1.2</v>
      </c>
      <c r="F70" s="79">
        <v>1</v>
      </c>
      <c r="G70" s="107" t="s">
        <v>151</v>
      </c>
      <c r="H70" s="80">
        <v>1.3</v>
      </c>
      <c r="I70" s="78">
        <v>0.4</v>
      </c>
      <c r="J70" s="78">
        <v>1.5</v>
      </c>
    </row>
    <row r="71" spans="1:10" ht="19.899999999999999" customHeight="1" x14ac:dyDescent="0.25">
      <c r="A71" s="52" t="s">
        <v>31</v>
      </c>
      <c r="B71" s="58">
        <v>69</v>
      </c>
      <c r="C71" s="68">
        <v>1.1826086956521737</v>
      </c>
      <c r="D71" s="68">
        <v>0.46334986201482353</v>
      </c>
      <c r="E71" s="78">
        <v>1.3</v>
      </c>
      <c r="F71" s="79">
        <v>0.9</v>
      </c>
      <c r="G71" s="107" t="s">
        <v>151</v>
      </c>
      <c r="H71" s="86">
        <v>1.55</v>
      </c>
      <c r="I71" s="78">
        <v>0.1</v>
      </c>
      <c r="J71" s="78">
        <v>2</v>
      </c>
    </row>
    <row r="72" spans="1:10" ht="19.899999999999999" customHeight="1" x14ac:dyDescent="0.25">
      <c r="A72" s="52" t="s">
        <v>147</v>
      </c>
      <c r="B72" s="58">
        <v>69</v>
      </c>
      <c r="C72" s="83">
        <v>649.85507246376812</v>
      </c>
      <c r="D72" s="83">
        <v>2946.2076385203</v>
      </c>
      <c r="E72" s="78">
        <v>26</v>
      </c>
      <c r="F72" s="79">
        <v>9.5</v>
      </c>
      <c r="G72" s="107" t="s">
        <v>151</v>
      </c>
      <c r="H72" s="80">
        <v>90</v>
      </c>
      <c r="I72" s="78">
        <v>2</v>
      </c>
      <c r="J72" s="78">
        <v>23032</v>
      </c>
    </row>
    <row r="73" spans="1:10" ht="19.899999999999999" customHeight="1" x14ac:dyDescent="0.25">
      <c r="A73" s="52" t="s">
        <v>136</v>
      </c>
      <c r="B73" s="58">
        <v>69</v>
      </c>
      <c r="C73" s="82">
        <v>80.449275362318843</v>
      </c>
      <c r="D73" s="82">
        <v>391.4453810683699</v>
      </c>
      <c r="E73" s="78">
        <v>4</v>
      </c>
      <c r="F73" s="79">
        <v>1</v>
      </c>
      <c r="G73" s="107" t="s">
        <v>151</v>
      </c>
      <c r="H73" s="84">
        <v>11.5</v>
      </c>
      <c r="I73" s="78">
        <v>0</v>
      </c>
      <c r="J73" s="78">
        <v>2935</v>
      </c>
    </row>
    <row r="74" spans="1:10" ht="19.899999999999999" customHeight="1" x14ac:dyDescent="0.25">
      <c r="A74" s="52" t="s">
        <v>137</v>
      </c>
      <c r="B74" s="58">
        <v>69</v>
      </c>
      <c r="C74" s="83">
        <v>435.60869565217394</v>
      </c>
      <c r="D74" s="83">
        <v>2128.9867046900044</v>
      </c>
      <c r="E74" s="78">
        <v>14</v>
      </c>
      <c r="F74" s="79">
        <v>6</v>
      </c>
      <c r="G74" s="107" t="s">
        <v>151</v>
      </c>
      <c r="H74" s="84">
        <v>71.5</v>
      </c>
      <c r="I74" s="78">
        <v>1</v>
      </c>
      <c r="J74" s="78">
        <v>16615</v>
      </c>
    </row>
    <row r="75" spans="1:10" ht="19.899999999999999" customHeight="1" x14ac:dyDescent="0.25">
      <c r="A75" s="52" t="s">
        <v>138</v>
      </c>
      <c r="B75" s="58">
        <v>69</v>
      </c>
      <c r="C75" s="83">
        <v>147.50724637681159</v>
      </c>
      <c r="D75" s="83">
        <v>475.63114796794594</v>
      </c>
      <c r="E75" s="78">
        <v>4</v>
      </c>
      <c r="F75" s="79">
        <v>1</v>
      </c>
      <c r="G75" s="107" t="s">
        <v>151</v>
      </c>
      <c r="H75" s="84">
        <v>31.5</v>
      </c>
      <c r="I75" s="78">
        <v>0</v>
      </c>
      <c r="J75" s="78">
        <v>3483</v>
      </c>
    </row>
    <row r="76" spans="1:10" ht="19.899999999999999" customHeight="1" x14ac:dyDescent="0.25">
      <c r="A76" s="52" t="s">
        <v>13</v>
      </c>
      <c r="B76" s="58">
        <v>69</v>
      </c>
      <c r="C76" s="82">
        <v>66.865217391304327</v>
      </c>
      <c r="D76" s="82">
        <v>25.082545056197219</v>
      </c>
      <c r="E76" s="78">
        <v>75.3</v>
      </c>
      <c r="F76" s="87">
        <v>43.25</v>
      </c>
      <c r="G76" s="109" t="s">
        <v>151</v>
      </c>
      <c r="H76" s="84">
        <v>86.9</v>
      </c>
      <c r="I76" s="78">
        <v>12.5</v>
      </c>
      <c r="J76" s="78">
        <v>97.2</v>
      </c>
    </row>
    <row r="77" spans="1:10" ht="19.899999999999999" customHeight="1" x14ac:dyDescent="0.25">
      <c r="A77" s="52" t="s">
        <v>14</v>
      </c>
      <c r="B77" s="58">
        <v>69</v>
      </c>
      <c r="C77" s="82">
        <v>32.815942028985511</v>
      </c>
      <c r="D77" s="82">
        <v>24.78570878069247</v>
      </c>
      <c r="E77" s="78">
        <v>23.8</v>
      </c>
      <c r="F77" s="87">
        <v>13.100000000000001</v>
      </c>
      <c r="G77" s="107" t="s">
        <v>151</v>
      </c>
      <c r="H77" s="84">
        <v>56.1</v>
      </c>
      <c r="I77" s="78">
        <v>2.8</v>
      </c>
      <c r="J77" s="78">
        <v>85.4</v>
      </c>
    </row>
    <row r="78" spans="1:10" ht="19.899999999999999" customHeight="1" thickBot="1" x14ac:dyDescent="0.3">
      <c r="A78" s="53" t="s">
        <v>15</v>
      </c>
      <c r="B78" s="90">
        <v>69</v>
      </c>
      <c r="C78" s="91">
        <v>6.1985507246376814</v>
      </c>
      <c r="D78" s="91">
        <v>8.2680549806366397</v>
      </c>
      <c r="E78" s="92">
        <v>4.3</v>
      </c>
      <c r="F78" s="93">
        <v>0.85000000000000009</v>
      </c>
      <c r="G78" s="113" t="s">
        <v>151</v>
      </c>
      <c r="H78" s="94">
        <v>9.0500000000000007</v>
      </c>
      <c r="I78" s="92">
        <v>0.1</v>
      </c>
      <c r="J78" s="92">
        <v>51</v>
      </c>
    </row>
    <row r="79" spans="1:10" ht="12" x14ac:dyDescent="0.25">
      <c r="A79" s="209" t="s">
        <v>168</v>
      </c>
      <c r="B79" s="209"/>
      <c r="C79" s="209"/>
      <c r="D79" s="209"/>
      <c r="E79" s="209"/>
      <c r="F79" s="209"/>
      <c r="G79" s="209"/>
      <c r="H79" s="209"/>
      <c r="I79" s="209"/>
      <c r="J79" s="209"/>
    </row>
  </sheetData>
  <mergeCells count="6">
    <mergeCell ref="F2:H2"/>
    <mergeCell ref="A79:J79"/>
    <mergeCell ref="F34:H34"/>
    <mergeCell ref="A31:J31"/>
    <mergeCell ref="A43:J43"/>
    <mergeCell ref="F46:H46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Banco de Dados</vt:lpstr>
      <vt:lpstr>Tab 1.</vt:lpstr>
      <vt:lpstr>Tab 2.</vt:lpstr>
      <vt:lpstr>Tab 3.</vt:lpstr>
      <vt:lpstr>Gráf Dispersão</vt:lpstr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Nathália Oliveira</dc:creator>
  <cp:lastModifiedBy>Agnaldo</cp:lastModifiedBy>
  <dcterms:created xsi:type="dcterms:W3CDTF">2019-09-04T21:43:34Z</dcterms:created>
  <dcterms:modified xsi:type="dcterms:W3CDTF">2023-03-22T19:04:52Z</dcterms:modified>
</cp:coreProperties>
</file>