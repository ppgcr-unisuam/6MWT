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hurferreira/Google Drive - arthurde/LSCMR/6MWT/datasets/Pinto 2019/"/>
    </mc:Choice>
  </mc:AlternateContent>
  <xr:revisionPtr revIDLastSave="0" documentId="13_ncr:1_{04D4744A-FC82-C44F-B2C3-42BA190367A7}" xr6:coauthVersionLast="47" xr6:coauthVersionMax="47" xr10:uidLastSave="{00000000-0000-0000-0000-000000000000}"/>
  <bookViews>
    <workbookView xWindow="880" yWindow="660" windowWidth="29360" windowHeight="18980" activeTab="1" xr2:uid="{00000000-000D-0000-FFFF-FFFF00000000}"/>
  </bookViews>
  <sheets>
    <sheet name="Plan1" sheetId="1" r:id="rId1"/>
    <sheet name="Plan2" sheetId="2" r:id="rId2"/>
    <sheet name="Plan3" sheetId="3" r:id="rId3"/>
    <sheet name="Planilha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88" i="3" l="1"/>
  <c r="AK191" i="3"/>
  <c r="AG186" i="3"/>
  <c r="AG187" i="3"/>
  <c r="AG188" i="3"/>
  <c r="AG190" i="3"/>
  <c r="AG191" i="3"/>
  <c r="F173" i="1"/>
  <c r="AF4" i="3"/>
  <c r="AI192" i="3"/>
  <c r="AF192" i="3"/>
  <c r="AK192" i="3" s="1"/>
  <c r="F191" i="1"/>
  <c r="AI191" i="3"/>
  <c r="AF191" i="3"/>
  <c r="F190" i="1"/>
  <c r="AI190" i="3"/>
  <c r="AK190" i="3" s="1"/>
  <c r="AF190" i="3"/>
  <c r="F189" i="1"/>
  <c r="AI189" i="3"/>
  <c r="AF189" i="3"/>
  <c r="F188" i="1"/>
  <c r="AI188" i="3"/>
  <c r="AF188" i="3"/>
  <c r="F187" i="1"/>
  <c r="AI187" i="3"/>
  <c r="AF187" i="3"/>
  <c r="F186" i="1"/>
  <c r="AI186" i="3"/>
  <c r="AF186" i="3"/>
  <c r="AK186" i="3" s="1"/>
  <c r="F185" i="1"/>
  <c r="AI185" i="3"/>
  <c r="AF185" i="3"/>
  <c r="AK185" i="3" s="1"/>
  <c r="F184" i="1"/>
  <c r="AG185" i="3" l="1"/>
  <c r="AK189" i="3"/>
  <c r="AG189" i="3"/>
  <c r="AG4" i="3"/>
  <c r="AG192" i="3"/>
  <c r="AK187" i="3"/>
  <c r="AI184" i="3"/>
  <c r="AF184" i="3"/>
  <c r="AI183" i="3"/>
  <c r="AF183" i="3"/>
  <c r="F183" i="1"/>
  <c r="F182" i="1"/>
  <c r="AK184" i="3" l="1"/>
  <c r="AG184" i="3"/>
  <c r="AK183" i="3"/>
  <c r="AG183" i="3"/>
  <c r="AI182" i="3"/>
  <c r="AF182" i="3"/>
  <c r="F181" i="1"/>
  <c r="AI181" i="3"/>
  <c r="AF181" i="3"/>
  <c r="AI180" i="3"/>
  <c r="AF180" i="3"/>
  <c r="AI179" i="3"/>
  <c r="AI178" i="3"/>
  <c r="AF174" i="3"/>
  <c r="AF175" i="3"/>
  <c r="AF176" i="3"/>
  <c r="AF177" i="3"/>
  <c r="AF178" i="3"/>
  <c r="AF179" i="3"/>
  <c r="F174" i="1"/>
  <c r="F175" i="1"/>
  <c r="F176" i="1"/>
  <c r="F177" i="1"/>
  <c r="F178" i="1"/>
  <c r="F179" i="1"/>
  <c r="F180" i="1"/>
  <c r="AF173" i="3"/>
  <c r="F172" i="1"/>
  <c r="AF172" i="3"/>
  <c r="F171" i="1"/>
  <c r="AF171" i="3"/>
  <c r="F170" i="1"/>
  <c r="AF170" i="3"/>
  <c r="F169" i="1"/>
  <c r="AI167" i="3"/>
  <c r="AI168" i="3"/>
  <c r="AI169" i="3"/>
  <c r="AI170" i="3"/>
  <c r="AI171" i="3"/>
  <c r="AI172" i="3"/>
  <c r="AI173" i="3"/>
  <c r="AI174" i="3"/>
  <c r="AI175" i="3"/>
  <c r="AI176" i="3"/>
  <c r="AI177" i="3"/>
  <c r="AF169" i="3"/>
  <c r="F168" i="1"/>
  <c r="AF168" i="3"/>
  <c r="F167" i="1"/>
  <c r="AK179" i="3" l="1"/>
  <c r="AG179" i="3"/>
  <c r="AK168" i="3"/>
  <c r="AG168" i="3"/>
  <c r="AG172" i="3"/>
  <c r="AK172" i="3"/>
  <c r="AK181" i="3"/>
  <c r="AG181" i="3"/>
  <c r="AG178" i="3"/>
  <c r="AK178" i="3"/>
  <c r="AK173" i="3"/>
  <c r="AG173" i="3"/>
  <c r="AK177" i="3"/>
  <c r="AG177" i="3"/>
  <c r="AK169" i="3"/>
  <c r="AG169" i="3"/>
  <c r="AK176" i="3"/>
  <c r="AG176" i="3"/>
  <c r="AG182" i="3"/>
  <c r="AK182" i="3"/>
  <c r="AK175" i="3"/>
  <c r="AG175" i="3"/>
  <c r="AK174" i="3"/>
  <c r="AG174" i="3"/>
  <c r="AK170" i="3"/>
  <c r="AG170" i="3"/>
  <c r="AK171" i="3"/>
  <c r="AG171" i="3"/>
  <c r="AK180" i="3"/>
  <c r="AG180" i="3"/>
  <c r="AF167" i="3"/>
  <c r="F166" i="1"/>
  <c r="AI166" i="3"/>
  <c r="AF166" i="3"/>
  <c r="F165" i="1"/>
  <c r="AI165" i="3"/>
  <c r="AF165" i="3"/>
  <c r="F164" i="1"/>
  <c r="AI164" i="3"/>
  <c r="AF164" i="3"/>
  <c r="F163" i="1"/>
  <c r="AF163" i="3"/>
  <c r="AI163" i="3"/>
  <c r="F162" i="1"/>
  <c r="AI162" i="3"/>
  <c r="AF162" i="3"/>
  <c r="F161" i="1"/>
  <c r="AI161" i="3"/>
  <c r="AF161" i="3"/>
  <c r="F160" i="1"/>
  <c r="AI160" i="3"/>
  <c r="AF160" i="3"/>
  <c r="F159" i="1"/>
  <c r="AI159" i="3"/>
  <c r="AF159" i="3"/>
  <c r="F158" i="1"/>
  <c r="AI158" i="3"/>
  <c r="AF158" i="3"/>
  <c r="F157" i="1"/>
  <c r="AI157" i="3"/>
  <c r="AF157" i="3"/>
  <c r="F156" i="1"/>
  <c r="AI156" i="3"/>
  <c r="AF156" i="3"/>
  <c r="F155" i="1"/>
  <c r="AI155" i="3"/>
  <c r="F154" i="1"/>
  <c r="AK161" i="3" l="1"/>
  <c r="AG161" i="3"/>
  <c r="AK159" i="3"/>
  <c r="AG159" i="3"/>
  <c r="AK156" i="3"/>
  <c r="AG156" i="3"/>
  <c r="AK166" i="3"/>
  <c r="AG166" i="3"/>
  <c r="AK160" i="3"/>
  <c r="AG160" i="3"/>
  <c r="AK163" i="3"/>
  <c r="AG163" i="3"/>
  <c r="AK157" i="3"/>
  <c r="AG157" i="3"/>
  <c r="AK164" i="3"/>
  <c r="AG164" i="3"/>
  <c r="AK158" i="3"/>
  <c r="AG158" i="3"/>
  <c r="AK165" i="3"/>
  <c r="AG165" i="3"/>
  <c r="AG162" i="3"/>
  <c r="AK162" i="3"/>
  <c r="AK167" i="3"/>
  <c r="AG167" i="3"/>
  <c r="AI154" i="3" l="1"/>
  <c r="AI153" i="3"/>
  <c r="AI152" i="3"/>
  <c r="AI151" i="3"/>
  <c r="AI150" i="3"/>
  <c r="AF149" i="3"/>
  <c r="AF150" i="3"/>
  <c r="AF151" i="3"/>
  <c r="AF152" i="3"/>
  <c r="AF153" i="3"/>
  <c r="AF154" i="3"/>
  <c r="AF155" i="3"/>
  <c r="AI149" i="3"/>
  <c r="F153" i="1"/>
  <c r="F152" i="1"/>
  <c r="F151" i="1"/>
  <c r="F150" i="1"/>
  <c r="F149" i="1"/>
  <c r="F148" i="1"/>
  <c r="AK153" i="3" l="1"/>
  <c r="AG153" i="3"/>
  <c r="AK152" i="3"/>
  <c r="AG152" i="3"/>
  <c r="AK151" i="3"/>
  <c r="AG151" i="3"/>
  <c r="AK150" i="3"/>
  <c r="AG150" i="3"/>
  <c r="AK149" i="3"/>
  <c r="AG149" i="3"/>
  <c r="AK155" i="3"/>
  <c r="AG155" i="3"/>
  <c r="AK154" i="3"/>
  <c r="AG154" i="3"/>
  <c r="AI124" i="3"/>
  <c r="AF124" i="3"/>
  <c r="AI97" i="3"/>
  <c r="AF97" i="3"/>
  <c r="AK97" i="3" l="1"/>
  <c r="AG97" i="3"/>
  <c r="AK124" i="3"/>
  <c r="AG124" i="3"/>
  <c r="AI148" i="3"/>
  <c r="AF148" i="3"/>
  <c r="F147" i="1"/>
  <c r="AI147" i="3"/>
  <c r="AF147" i="3"/>
  <c r="F146" i="1"/>
  <c r="AI146" i="3"/>
  <c r="AF146" i="3"/>
  <c r="F145" i="1"/>
  <c r="AI145" i="3"/>
  <c r="AF145" i="3"/>
  <c r="F144" i="1"/>
  <c r="AI144" i="3"/>
  <c r="AF144" i="3"/>
  <c r="F143" i="1"/>
  <c r="AI143" i="3"/>
  <c r="AF143" i="3"/>
  <c r="F142" i="1"/>
  <c r="AI142" i="3"/>
  <c r="AF142" i="3"/>
  <c r="F141" i="1"/>
  <c r="AI141" i="3"/>
  <c r="AF141" i="3"/>
  <c r="F140" i="1"/>
  <c r="AI140" i="3"/>
  <c r="AF140" i="3"/>
  <c r="F139" i="1"/>
  <c r="AI139" i="3"/>
  <c r="AF139" i="3"/>
  <c r="F138" i="1"/>
  <c r="AI138" i="3"/>
  <c r="AF138" i="3"/>
  <c r="F137" i="1"/>
  <c r="AI137" i="3"/>
  <c r="AF137" i="3"/>
  <c r="F136" i="1"/>
  <c r="AI136" i="3"/>
  <c r="AF136" i="3"/>
  <c r="F135" i="1"/>
  <c r="AI135" i="3"/>
  <c r="AF135" i="3"/>
  <c r="F134" i="1"/>
  <c r="AF134" i="3"/>
  <c r="F133" i="1"/>
  <c r="F132" i="1"/>
  <c r="F131" i="1"/>
  <c r="F130" i="1"/>
  <c r="F129" i="1"/>
  <c r="AI94" i="3"/>
  <c r="AF94" i="3"/>
  <c r="F128" i="1"/>
  <c r="F127" i="1"/>
  <c r="F126" i="1"/>
  <c r="AF127" i="3"/>
  <c r="AF128" i="3"/>
  <c r="AF129" i="3"/>
  <c r="AF130" i="3"/>
  <c r="AF131" i="3"/>
  <c r="AF132" i="3"/>
  <c r="AF133" i="3"/>
  <c r="AI126" i="3"/>
  <c r="AI127" i="3"/>
  <c r="AI128" i="3"/>
  <c r="AI129" i="3"/>
  <c r="AI130" i="3"/>
  <c r="AI131" i="3"/>
  <c r="AI132" i="3"/>
  <c r="AI133" i="3"/>
  <c r="AI134" i="3"/>
  <c r="AF126" i="3"/>
  <c r="F125" i="1"/>
  <c r="AI122" i="3"/>
  <c r="AI123" i="3"/>
  <c r="AI125" i="3"/>
  <c r="AF123" i="3"/>
  <c r="AF125" i="3"/>
  <c r="F124" i="1"/>
  <c r="F123" i="1"/>
  <c r="AF122" i="3"/>
  <c r="AI121" i="3"/>
  <c r="AF121" i="3"/>
  <c r="AI120" i="3"/>
  <c r="AF120" i="3"/>
  <c r="AI119" i="3"/>
  <c r="AF119" i="3"/>
  <c r="AI118" i="3"/>
  <c r="AF118" i="3"/>
  <c r="AI117" i="3"/>
  <c r="AF117" i="3"/>
  <c r="AI116" i="3"/>
  <c r="AF116" i="3"/>
  <c r="AI115" i="3"/>
  <c r="AF115" i="3"/>
  <c r="AI114" i="3"/>
  <c r="AF114" i="3"/>
  <c r="AI113" i="3"/>
  <c r="AF113" i="3"/>
  <c r="AI112" i="3"/>
  <c r="AF112" i="3"/>
  <c r="AI111" i="3"/>
  <c r="AF111" i="3"/>
  <c r="AI110" i="3"/>
  <c r="AF110" i="3"/>
  <c r="AF109" i="3"/>
  <c r="AI109" i="3"/>
  <c r="AI108" i="3"/>
  <c r="AF108" i="3"/>
  <c r="AI107" i="3"/>
  <c r="AF107" i="3"/>
  <c r="AI105" i="3"/>
  <c r="AI106" i="3"/>
  <c r="AF105" i="3"/>
  <c r="AF106" i="3"/>
  <c r="AI104" i="3"/>
  <c r="AF104" i="3"/>
  <c r="AI103" i="3"/>
  <c r="AF103" i="3"/>
  <c r="AI102" i="3"/>
  <c r="AF102" i="3"/>
  <c r="AI101" i="3"/>
  <c r="AF101" i="3"/>
  <c r="AF100" i="3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AF99" i="3"/>
  <c r="F96" i="1"/>
  <c r="F95" i="1"/>
  <c r="F94" i="1"/>
  <c r="F93" i="1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5" i="3"/>
  <c r="AI96" i="3"/>
  <c r="AI98" i="3"/>
  <c r="AI99" i="3"/>
  <c r="AI100" i="3"/>
  <c r="AI4" i="3"/>
  <c r="AK4" i="3" s="1"/>
  <c r="AI3" i="3"/>
  <c r="F92" i="1"/>
  <c r="F91" i="1"/>
  <c r="F90" i="1"/>
  <c r="F84" i="1"/>
  <c r="F85" i="1"/>
  <c r="F86" i="1"/>
  <c r="F87" i="1"/>
  <c r="F88" i="1"/>
  <c r="F89" i="1"/>
  <c r="F83" i="1"/>
  <c r="F82" i="1"/>
  <c r="F81" i="1"/>
  <c r="F80" i="1"/>
  <c r="F79" i="1"/>
  <c r="F78" i="1"/>
  <c r="F77" i="1"/>
  <c r="F76" i="1"/>
  <c r="F75" i="1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5" i="3"/>
  <c r="AF96" i="3"/>
  <c r="AF98" i="3"/>
  <c r="AF74" i="3"/>
  <c r="AF75" i="3"/>
  <c r="F74" i="1"/>
  <c r="F73" i="1"/>
  <c r="AF73" i="3"/>
  <c r="F72" i="1"/>
  <c r="AF72" i="3"/>
  <c r="F71" i="1"/>
  <c r="AF71" i="3"/>
  <c r="F70" i="1"/>
  <c r="AF70" i="3"/>
  <c r="F69" i="1"/>
  <c r="AF69" i="3"/>
  <c r="F68" i="1"/>
  <c r="AF68" i="3"/>
  <c r="F67" i="1"/>
  <c r="AF67" i="3"/>
  <c r="F66" i="1"/>
  <c r="AF66" i="3"/>
  <c r="F65" i="1"/>
  <c r="F64" i="1"/>
  <c r="AF64" i="3"/>
  <c r="AF65" i="3"/>
  <c r="F63" i="1"/>
  <c r="AF63" i="3"/>
  <c r="F62" i="1"/>
  <c r="AF62" i="3"/>
  <c r="F61" i="1"/>
  <c r="AF61" i="3"/>
  <c r="F60" i="1"/>
  <c r="AF60" i="3"/>
  <c r="F59" i="1"/>
  <c r="AF59" i="3"/>
  <c r="F58" i="1"/>
  <c r="AF58" i="3"/>
  <c r="F57" i="1"/>
  <c r="AF57" i="3"/>
  <c r="F56" i="1"/>
  <c r="AF56" i="3"/>
  <c r="F55" i="1"/>
  <c r="AF55" i="3"/>
  <c r="F54" i="1"/>
  <c r="AF54" i="3"/>
  <c r="F53" i="1"/>
  <c r="AF53" i="3"/>
  <c r="F52" i="1"/>
  <c r="AF52" i="3"/>
  <c r="F51" i="1"/>
  <c r="AF51" i="3"/>
  <c r="F50" i="1"/>
  <c r="AF50" i="3"/>
  <c r="F49" i="1"/>
  <c r="AF49" i="3"/>
  <c r="F48" i="1"/>
  <c r="AF48" i="3"/>
  <c r="F47" i="1"/>
  <c r="AF47" i="3"/>
  <c r="F46" i="1"/>
  <c r="AF46" i="3"/>
  <c r="F45" i="1"/>
  <c r="AF45" i="3"/>
  <c r="F44" i="1"/>
  <c r="AF44" i="3"/>
  <c r="F43" i="1"/>
  <c r="AF43" i="3"/>
  <c r="F42" i="1"/>
  <c r="AF42" i="3"/>
  <c r="F41" i="1"/>
  <c r="AF41" i="3"/>
  <c r="F40" i="1"/>
  <c r="AF40" i="3"/>
  <c r="F39" i="1"/>
  <c r="AF39" i="3"/>
  <c r="F38" i="1"/>
  <c r="AF38" i="3"/>
  <c r="F37" i="1"/>
  <c r="AF13" i="3"/>
  <c r="F12" i="1"/>
  <c r="AF37" i="3"/>
  <c r="F36" i="1"/>
  <c r="AF36" i="3"/>
  <c r="AF35" i="3"/>
  <c r="F35" i="1"/>
  <c r="F34" i="1"/>
  <c r="AF34" i="3"/>
  <c r="F33" i="1"/>
  <c r="AF33" i="3"/>
  <c r="F32" i="1"/>
  <c r="AF32" i="3"/>
  <c r="F31" i="1"/>
  <c r="AF28" i="3"/>
  <c r="AF29" i="3"/>
  <c r="AF30" i="3"/>
  <c r="AF31" i="3"/>
  <c r="F30" i="1"/>
  <c r="F29" i="1"/>
  <c r="F28" i="1"/>
  <c r="F27" i="1"/>
  <c r="AF5" i="3"/>
  <c r="AF6" i="3"/>
  <c r="AF7" i="3"/>
  <c r="AF8" i="3"/>
  <c r="AF9" i="3"/>
  <c r="AF10" i="3"/>
  <c r="AF11" i="3"/>
  <c r="AF12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3" i="3"/>
  <c r="AK15" i="3" l="1"/>
  <c r="AG15" i="3"/>
  <c r="AK125" i="3"/>
  <c r="AG125" i="3"/>
  <c r="AK129" i="3"/>
  <c r="AG129" i="3"/>
  <c r="AK25" i="3"/>
  <c r="AG25" i="3"/>
  <c r="AK95" i="3"/>
  <c r="AG95" i="3"/>
  <c r="AK84" i="3"/>
  <c r="AG84" i="3"/>
  <c r="AK140" i="3"/>
  <c r="AG140" i="3"/>
  <c r="AK24" i="3"/>
  <c r="AG24" i="3"/>
  <c r="AK14" i="3"/>
  <c r="AG14" i="3"/>
  <c r="AK33" i="3"/>
  <c r="AG33" i="3"/>
  <c r="AK13" i="3"/>
  <c r="AG13" i="3"/>
  <c r="AK42" i="3"/>
  <c r="AG42" i="3"/>
  <c r="AK47" i="3"/>
  <c r="AG47" i="3"/>
  <c r="AG52" i="3"/>
  <c r="AK52" i="3"/>
  <c r="AK57" i="3"/>
  <c r="AG57" i="3"/>
  <c r="AK62" i="3"/>
  <c r="AG62" i="3"/>
  <c r="AK67" i="3"/>
  <c r="AG67" i="3"/>
  <c r="AG72" i="3"/>
  <c r="AK72" i="3"/>
  <c r="AK93" i="3"/>
  <c r="AG93" i="3"/>
  <c r="AK83" i="3"/>
  <c r="AG83" i="3"/>
  <c r="AK104" i="3"/>
  <c r="AG104" i="3"/>
  <c r="AK114" i="3"/>
  <c r="AG114" i="3"/>
  <c r="AK119" i="3"/>
  <c r="AG119" i="3"/>
  <c r="AK123" i="3"/>
  <c r="AG123" i="3"/>
  <c r="AK128" i="3"/>
  <c r="AG128" i="3"/>
  <c r="AK137" i="3"/>
  <c r="AG137" i="3"/>
  <c r="AK147" i="3"/>
  <c r="AG147" i="3"/>
  <c r="AK109" i="3"/>
  <c r="AG109" i="3"/>
  <c r="AK127" i="3"/>
  <c r="AG127" i="3"/>
  <c r="AK144" i="3"/>
  <c r="AG144" i="3"/>
  <c r="AK22" i="3"/>
  <c r="AG22" i="3"/>
  <c r="AG11" i="3"/>
  <c r="AK11" i="3"/>
  <c r="AK34" i="3"/>
  <c r="AG34" i="3"/>
  <c r="AK38" i="3"/>
  <c r="AG38" i="3"/>
  <c r="AK43" i="3"/>
  <c r="AG43" i="3"/>
  <c r="AK48" i="3"/>
  <c r="AG48" i="3"/>
  <c r="AK53" i="3"/>
  <c r="AG53" i="3"/>
  <c r="AK58" i="3"/>
  <c r="AG58" i="3"/>
  <c r="AK63" i="3"/>
  <c r="AG63" i="3"/>
  <c r="AK68" i="3"/>
  <c r="AG68" i="3"/>
  <c r="AK73" i="3"/>
  <c r="AG73" i="3"/>
  <c r="AK91" i="3"/>
  <c r="AG91" i="3"/>
  <c r="AK81" i="3"/>
  <c r="AG81" i="3"/>
  <c r="AK106" i="3"/>
  <c r="AG106" i="3"/>
  <c r="AK110" i="3"/>
  <c r="AG110" i="3"/>
  <c r="AK115" i="3"/>
  <c r="AG115" i="3"/>
  <c r="AK120" i="3"/>
  <c r="AG120" i="3"/>
  <c r="AK134" i="3"/>
  <c r="AG134" i="3"/>
  <c r="AK141" i="3"/>
  <c r="AG141" i="3"/>
  <c r="AK138" i="3"/>
  <c r="AG138" i="3"/>
  <c r="AK148" i="3"/>
  <c r="AG148" i="3"/>
  <c r="AK12" i="3"/>
  <c r="AG12" i="3"/>
  <c r="AG82" i="3"/>
  <c r="AK82" i="3"/>
  <c r="AK21" i="3"/>
  <c r="AG21" i="3"/>
  <c r="AK49" i="3"/>
  <c r="AG49" i="3"/>
  <c r="AK69" i="3"/>
  <c r="AG69" i="3"/>
  <c r="AK89" i="3"/>
  <c r="AG89" i="3"/>
  <c r="AK79" i="3"/>
  <c r="AG79" i="3"/>
  <c r="AK101" i="3"/>
  <c r="AG101" i="3"/>
  <c r="AK111" i="3"/>
  <c r="AG111" i="3"/>
  <c r="AK116" i="3"/>
  <c r="AG116" i="3"/>
  <c r="AK121" i="3"/>
  <c r="AG121" i="3"/>
  <c r="AK135" i="3"/>
  <c r="AG135" i="3"/>
  <c r="AK145" i="3"/>
  <c r="AG145" i="3"/>
  <c r="AG31" i="3"/>
  <c r="AK31" i="3"/>
  <c r="AK90" i="3"/>
  <c r="AG90" i="3"/>
  <c r="AK100" i="3"/>
  <c r="AG100" i="3"/>
  <c r="AK9" i="3"/>
  <c r="AG9" i="3"/>
  <c r="AK44" i="3"/>
  <c r="AG44" i="3"/>
  <c r="AK59" i="3"/>
  <c r="AG59" i="3"/>
  <c r="AK19" i="3"/>
  <c r="AG19" i="3"/>
  <c r="AK29" i="3"/>
  <c r="AG29" i="3"/>
  <c r="AK64" i="3"/>
  <c r="AG64" i="3"/>
  <c r="AK78" i="3"/>
  <c r="AG78" i="3"/>
  <c r="AK126" i="3"/>
  <c r="AG126" i="3"/>
  <c r="AK133" i="3"/>
  <c r="AG133" i="3"/>
  <c r="AK94" i="3"/>
  <c r="AG94" i="3"/>
  <c r="AK142" i="3"/>
  <c r="AG142" i="3"/>
  <c r="AK23" i="3"/>
  <c r="AG23" i="3"/>
  <c r="AK92" i="3"/>
  <c r="AG92" i="3"/>
  <c r="AG10" i="3"/>
  <c r="AK10" i="3"/>
  <c r="AK80" i="3"/>
  <c r="AG80" i="3"/>
  <c r="AK105" i="3"/>
  <c r="AG105" i="3"/>
  <c r="AK20" i="3"/>
  <c r="AG20" i="3"/>
  <c r="AK30" i="3"/>
  <c r="AG30" i="3"/>
  <c r="AK39" i="3"/>
  <c r="AG39" i="3"/>
  <c r="AK54" i="3"/>
  <c r="AG54" i="3"/>
  <c r="AK65" i="3"/>
  <c r="AG65" i="3"/>
  <c r="AK8" i="3"/>
  <c r="AG8" i="3"/>
  <c r="AK35" i="3"/>
  <c r="AG35" i="3"/>
  <c r="AK75" i="3"/>
  <c r="AG75" i="3"/>
  <c r="AK3" i="3"/>
  <c r="AG3" i="3"/>
  <c r="AK7" i="3"/>
  <c r="AG7" i="3"/>
  <c r="AK28" i="3"/>
  <c r="AG28" i="3"/>
  <c r="AK36" i="3"/>
  <c r="AG36" i="3"/>
  <c r="AK40" i="3"/>
  <c r="AG40" i="3"/>
  <c r="AK45" i="3"/>
  <c r="AG45" i="3"/>
  <c r="AK50" i="3"/>
  <c r="AG50" i="3"/>
  <c r="AK55" i="3"/>
  <c r="AG55" i="3"/>
  <c r="AK60" i="3"/>
  <c r="AG60" i="3"/>
  <c r="AK70" i="3"/>
  <c r="AG70" i="3"/>
  <c r="AK74" i="3"/>
  <c r="AG74" i="3"/>
  <c r="AK87" i="3"/>
  <c r="AG87" i="3"/>
  <c r="AK77" i="3"/>
  <c r="AG77" i="3"/>
  <c r="AK18" i="3"/>
  <c r="AG18" i="3"/>
  <c r="AK99" i="3"/>
  <c r="AG99" i="3"/>
  <c r="AG102" i="3"/>
  <c r="AK102" i="3"/>
  <c r="AK107" i="3"/>
  <c r="AG107" i="3"/>
  <c r="AG112" i="3"/>
  <c r="AK112" i="3"/>
  <c r="AK117" i="3"/>
  <c r="AG117" i="3"/>
  <c r="AK122" i="3"/>
  <c r="AG122" i="3"/>
  <c r="AK132" i="3"/>
  <c r="AG132" i="3"/>
  <c r="AK139" i="3"/>
  <c r="AG139" i="3"/>
  <c r="AK27" i="3"/>
  <c r="AG27" i="3"/>
  <c r="AK6" i="3"/>
  <c r="AG6" i="3"/>
  <c r="AK131" i="3"/>
  <c r="AG131" i="3"/>
  <c r="AK136" i="3"/>
  <c r="AG136" i="3"/>
  <c r="AK146" i="3"/>
  <c r="AG146" i="3"/>
  <c r="AK88" i="3"/>
  <c r="AG88" i="3"/>
  <c r="AK17" i="3"/>
  <c r="AG17" i="3"/>
  <c r="AK98" i="3"/>
  <c r="AG98" i="3"/>
  <c r="AK86" i="3"/>
  <c r="AG86" i="3"/>
  <c r="AK76" i="3"/>
  <c r="AG76" i="3"/>
  <c r="AK26" i="3"/>
  <c r="AG26" i="3"/>
  <c r="AK16" i="3"/>
  <c r="AG16" i="3"/>
  <c r="AK5" i="3"/>
  <c r="AG5" i="3"/>
  <c r="AK32" i="3"/>
  <c r="AG32" i="3"/>
  <c r="AK37" i="3"/>
  <c r="AG37" i="3"/>
  <c r="AK41" i="3"/>
  <c r="AG41" i="3"/>
  <c r="AK46" i="3"/>
  <c r="AG46" i="3"/>
  <c r="AK51" i="3"/>
  <c r="AG51" i="3"/>
  <c r="AK56" i="3"/>
  <c r="AG56" i="3"/>
  <c r="AK61" i="3"/>
  <c r="AG61" i="3"/>
  <c r="AK66" i="3"/>
  <c r="AG66" i="3"/>
  <c r="AK71" i="3"/>
  <c r="AG71" i="3"/>
  <c r="AK96" i="3"/>
  <c r="AG96" i="3"/>
  <c r="AK85" i="3"/>
  <c r="AG85" i="3"/>
  <c r="AK103" i="3"/>
  <c r="AG103" i="3"/>
  <c r="AK108" i="3"/>
  <c r="AG108" i="3"/>
  <c r="AK113" i="3"/>
  <c r="AG113" i="3"/>
  <c r="AK118" i="3"/>
  <c r="AG118" i="3"/>
  <c r="AK130" i="3"/>
  <c r="AG130" i="3"/>
  <c r="AK143" i="3"/>
  <c r="AG143" i="3"/>
  <c r="F18" i="1"/>
  <c r="F19" i="1"/>
  <c r="F2" i="1"/>
  <c r="F3" i="1"/>
  <c r="F20" i="1"/>
  <c r="F4" i="1"/>
  <c r="F5" i="1"/>
  <c r="F6" i="1"/>
  <c r="F7" i="1"/>
  <c r="F8" i="1"/>
  <c r="F9" i="1"/>
  <c r="F21" i="1"/>
  <c r="F10" i="1"/>
  <c r="F22" i="1"/>
  <c r="F23" i="1"/>
  <c r="F24" i="1"/>
  <c r="F11" i="1"/>
  <c r="F13" i="1"/>
  <c r="F25" i="1"/>
  <c r="F26" i="1"/>
  <c r="F14" i="1"/>
  <c r="F15" i="1"/>
  <c r="F16" i="1"/>
  <c r="F17" i="1"/>
</calcChain>
</file>

<file path=xl/sharedStrings.xml><?xml version="1.0" encoding="utf-8"?>
<sst xmlns="http://schemas.openxmlformats.org/spreadsheetml/2006/main" count="890" uniqueCount="315">
  <si>
    <t>NOME</t>
  </si>
  <si>
    <t>SEXO</t>
  </si>
  <si>
    <t>IDADE</t>
  </si>
  <si>
    <t>ALTURA</t>
  </si>
  <si>
    <t>PESO</t>
  </si>
  <si>
    <t>IMC</t>
  </si>
  <si>
    <t>PAS</t>
  </si>
  <si>
    <t>PAD</t>
  </si>
  <si>
    <t>DÇAS RESP.</t>
  </si>
  <si>
    <t>DÇAS CARD.</t>
  </si>
  <si>
    <t>MEDICAMENTOS</t>
  </si>
  <si>
    <t>TABAGISMO</t>
  </si>
  <si>
    <t>IPAQ</t>
  </si>
  <si>
    <t>VEF1</t>
  </si>
  <si>
    <t>CVF</t>
  </si>
  <si>
    <t>VEF1%PRED</t>
  </si>
  <si>
    <t>CVF%PRED</t>
  </si>
  <si>
    <t>PFE</t>
  </si>
  <si>
    <t>PFE%PRED</t>
  </si>
  <si>
    <t>VEF1/CVF%PRED</t>
  </si>
  <si>
    <t>VEF1/CVF</t>
  </si>
  <si>
    <t>FC 0'</t>
  </si>
  <si>
    <t>FC 6'</t>
  </si>
  <si>
    <t>SpO2 0'</t>
  </si>
  <si>
    <t>SpO2 6'</t>
  </si>
  <si>
    <t>10M</t>
  </si>
  <si>
    <t>BORG 0'</t>
  </si>
  <si>
    <t>BORG 3'</t>
  </si>
  <si>
    <t>BORG 6'</t>
  </si>
  <si>
    <t>DTC6M</t>
  </si>
  <si>
    <t>20M</t>
  </si>
  <si>
    <t>30M</t>
  </si>
  <si>
    <t>RENATO SANTOS DE ALMEIDA</t>
  </si>
  <si>
    <t>RENATO SANTOS DE ALMEIDA4,35</t>
  </si>
  <si>
    <t>EDUARDO MONTANARI</t>
  </si>
  <si>
    <t>VINÍCIUS GREGORIO DOS REIS</t>
  </si>
  <si>
    <t>KAREN TREVISAN</t>
  </si>
  <si>
    <t>CINTHIA SOARES LEITE</t>
  </si>
  <si>
    <t>RAFAEL LUIZ DE MAGALHÃES</t>
  </si>
  <si>
    <t>BARBARA NEVES</t>
  </si>
  <si>
    <t>ELIANA NEVES ROSA</t>
  </si>
  <si>
    <t>ANTI CONCEPCIONAL</t>
  </si>
  <si>
    <t>ISABELA MELO</t>
  </si>
  <si>
    <t>VIVIAN PINTO DE ALMEIDA</t>
  </si>
  <si>
    <t>REGINE REIS</t>
  </si>
  <si>
    <t>PAULA XAVIER</t>
  </si>
  <si>
    <t>EDUARDO MACHADO</t>
  </si>
  <si>
    <t>PATRICIA PESTANA</t>
  </si>
  <si>
    <t>LEONARDO XAVIER</t>
  </si>
  <si>
    <t>FERNANDO DUARTE GIL</t>
  </si>
  <si>
    <t>ALEXANDRE CANTARELLI</t>
  </si>
  <si>
    <t>RAIZA CABRAL</t>
  </si>
  <si>
    <t>MARIANA DONATO</t>
  </si>
  <si>
    <t>BRUNA PUENTE</t>
  </si>
  <si>
    <t>RODRIGO MOURA ELARRAT</t>
  </si>
  <si>
    <t>MARCELA SAIBLER</t>
  </si>
  <si>
    <t>BARBARA MENDES</t>
  </si>
  <si>
    <t>CENTRUM</t>
  </si>
  <si>
    <t>PREDSIM; ALEXOEDRIM D</t>
  </si>
  <si>
    <t>FLUOXETINA; ANTICONCEPCIONAL</t>
  </si>
  <si>
    <t>EQUAÇÃO DE PEREIRA</t>
  </si>
  <si>
    <t>PEDRO FELIPE VIANNA</t>
  </si>
  <si>
    <t>PAULA PRIMO ALMEIDA</t>
  </si>
  <si>
    <t>ANTICONCEPCIONAL</t>
  </si>
  <si>
    <t>idade</t>
  </si>
  <si>
    <t>EDSON SILVA DOS SANTOS JR</t>
  </si>
  <si>
    <t xml:space="preserve">ANTONIO FELICIANO FATORELLI </t>
  </si>
  <si>
    <t>CINTROID</t>
  </si>
  <si>
    <t>DALBIAN SIMÕES GASPARINI</t>
  </si>
  <si>
    <t>SEDENTÁRIO</t>
  </si>
  <si>
    <t>LUÍSA POLESE</t>
  </si>
  <si>
    <t>LEVOTIROXINA 75MG</t>
  </si>
  <si>
    <t>LUISA POLESE</t>
  </si>
  <si>
    <t>JORGE HENRIQUE NARCISO</t>
  </si>
  <si>
    <t>SILAS CARNEIRO ROSA</t>
  </si>
  <si>
    <t>DAFLON</t>
  </si>
  <si>
    <t>PAULO VINICIUS DA SILVA</t>
  </si>
  <si>
    <t>CARLA FERREIRA DOS SANTOS</t>
  </si>
  <si>
    <t>PANTOPRAZOL, ANTICONCEPCIONAL</t>
  </si>
  <si>
    <t>FERNANDA MOREIRA</t>
  </si>
  <si>
    <t>CATHERINE DE CAL VALDEZ</t>
  </si>
  <si>
    <t>Predito Britto IMC</t>
  </si>
  <si>
    <t>PREDITO BRITTO FC</t>
  </si>
  <si>
    <t>ANA CAROLINA ALVIM</t>
  </si>
  <si>
    <t>DANIELLE COSTA REIS</t>
  </si>
  <si>
    <t>DANIELLE DA COSTA REIS</t>
  </si>
  <si>
    <t>GUSTAVO SCARAMUZZA DOS REIS</t>
  </si>
  <si>
    <t>GUSTAVO MARQUES PEREIRA</t>
  </si>
  <si>
    <t>RAFAEL AUGUSTO PIRES</t>
  </si>
  <si>
    <t>JOAQUIM PEDRO RAMOS</t>
  </si>
  <si>
    <t>AMANDA BATISTA</t>
  </si>
  <si>
    <t>REJANNE MARTINS</t>
  </si>
  <si>
    <t>THAYANNE CALIXTO</t>
  </si>
  <si>
    <t>JAQUELINE PIVANTE</t>
  </si>
  <si>
    <t>ANA PAULA CASSETTA</t>
  </si>
  <si>
    <t>CARMEM LUCIA SILVEIRA</t>
  </si>
  <si>
    <t>NAPRIX</t>
  </si>
  <si>
    <t>CARMEM LUCIA DA SILVEIRA</t>
  </si>
  <si>
    <t>PAULA SEVERO YUNES</t>
  </si>
  <si>
    <t>PAULO SEVERO YUNES</t>
  </si>
  <si>
    <t>JENNYFER PALMA DEL REI</t>
  </si>
  <si>
    <t>MARIA FERNANDA HOUTET</t>
  </si>
  <si>
    <t>VINICIUS MENDONCA</t>
  </si>
  <si>
    <t>ISABELLA MARIA SALGADO</t>
  </si>
  <si>
    <t>FERNANDA BILOURO</t>
  </si>
  <si>
    <t>LARISSA COUTO MONTENEGRO</t>
  </si>
  <si>
    <t>MIRIAM CRISTINA DE PAULA</t>
  </si>
  <si>
    <t>MARIANA SILVA DOS SANTOS</t>
  </si>
  <si>
    <t>NICOLE LUPERINI</t>
  </si>
  <si>
    <t>JURANI OLIVEIRA</t>
  </si>
  <si>
    <t>RAFFANY BRANC</t>
  </si>
  <si>
    <t>RAFFANY BRAND</t>
  </si>
  <si>
    <t>LUIZA PERES BARBOSA</t>
  </si>
  <si>
    <t>YASMIN CAMPOS</t>
  </si>
  <si>
    <t>GICIVAN</t>
  </si>
  <si>
    <t>GLORIA ESTHER GAMA</t>
  </si>
  <si>
    <t>ROSICLER FORTES DE OLIVEIRA</t>
  </si>
  <si>
    <t>GIOVANI PACIFICO JR</t>
  </si>
  <si>
    <t>PAULA STEPHANY ROCHA</t>
  </si>
  <si>
    <t>ALINE PINHEIRO PIMENTA</t>
  </si>
  <si>
    <t>LIVIA CAVALCANTI MORET</t>
  </si>
  <si>
    <t>BRENDA BRAVO</t>
  </si>
  <si>
    <t>LUISA ANDRADE CORREA</t>
  </si>
  <si>
    <t>PURAN T4</t>
  </si>
  <si>
    <t>LEANDRO FERREIRA</t>
  </si>
  <si>
    <t>TATIANE SOARES XAVIER</t>
  </si>
  <si>
    <t>BRUNO MEDEIROS GUIO</t>
  </si>
  <si>
    <t>LOSARTANA 25MG 1X DIA</t>
  </si>
  <si>
    <t>TAÍS SANTANNA</t>
  </si>
  <si>
    <t>VENOFAXINA</t>
  </si>
  <si>
    <t>TAÍS SANTANA</t>
  </si>
  <si>
    <t>TAIS SANTANA</t>
  </si>
  <si>
    <t>CAMILA MARTINS PEREIRA</t>
  </si>
  <si>
    <t>ELIZA MIEKO SAIGA</t>
  </si>
  <si>
    <t>TIBOLONA, ACITETRINA</t>
  </si>
  <si>
    <t>JULIANA BERNARDES</t>
  </si>
  <si>
    <t>JULIANA BARROS CRUZ</t>
  </si>
  <si>
    <t>DEPAKOTE</t>
  </si>
  <si>
    <t>8 MAÇOS-ANO</t>
  </si>
  <si>
    <t>DANIEL ARAGÃO MACHADO</t>
  </si>
  <si>
    <t>SUELEN MARLIN</t>
  </si>
  <si>
    <t>SUELEN MERLIM</t>
  </si>
  <si>
    <t>WESLLEY MARTIRELLE</t>
  </si>
  <si>
    <t>WESLEY MARTIRELLE</t>
  </si>
  <si>
    <t>WESLLEY MARTINELLE</t>
  </si>
  <si>
    <t>JULIANA FERREIRA</t>
  </si>
  <si>
    <t>RENATA JASBICK</t>
  </si>
  <si>
    <t>ISAAC SALOMÃO BOCAI</t>
  </si>
  <si>
    <t>ATIVO</t>
  </si>
  <si>
    <t>ISAAC BOCAI</t>
  </si>
  <si>
    <t>JULIANA RIBEIRO</t>
  </si>
  <si>
    <t>CRISTIANO DANTAS</t>
  </si>
  <si>
    <t>THAIANA ZANELLI</t>
  </si>
  <si>
    <t>THAIANNA ZANELLI</t>
  </si>
  <si>
    <t>ADRIANA DRUMMOND</t>
  </si>
  <si>
    <t>RODRIGO RIBAS</t>
  </si>
  <si>
    <t>IGOR LEAL SARTORI</t>
  </si>
  <si>
    <t>IGOR LELA SARTORI</t>
  </si>
  <si>
    <t>ANDRÉA SILVA</t>
  </si>
  <si>
    <t>ANDREA SILVA</t>
  </si>
  <si>
    <t>LUISA GUSMÃO</t>
  </si>
  <si>
    <t>LUANA CALZAVARA</t>
  </si>
  <si>
    <t>KELEN BITTENCOURT</t>
  </si>
  <si>
    <t>KELEN BITENCOURT</t>
  </si>
  <si>
    <t>ALINE MOREIRA</t>
  </si>
  <si>
    <t>MARIA ALICE</t>
  </si>
  <si>
    <t>NAYARA</t>
  </si>
  <si>
    <t>YASMIN MENDES MAGALHÃES</t>
  </si>
  <si>
    <t>LUIZA GUSMÃO</t>
  </si>
  <si>
    <t>RENATA TAVARES</t>
  </si>
  <si>
    <t>SUELLEN DE BARROS</t>
  </si>
  <si>
    <t>FERNANDA MEDEIROS</t>
  </si>
  <si>
    <t>KELLEY DO NASCIMENTO</t>
  </si>
  <si>
    <t>TAÍS JENKINS</t>
  </si>
  <si>
    <t>DANIEL LASNEAU</t>
  </si>
  <si>
    <t>DANIEL  LASNEAU</t>
  </si>
  <si>
    <t>JULIANA TELLES</t>
  </si>
  <si>
    <t>LETICIA DESIDERIO</t>
  </si>
  <si>
    <t>ISABELLE PAES CASTRO</t>
  </si>
  <si>
    <t>ISABELLE PAES</t>
  </si>
  <si>
    <t>GABRIEL FARIAS ALVES</t>
  </si>
  <si>
    <t>GABRIEL ALVES</t>
  </si>
  <si>
    <t>CAROLYNE CRUZ</t>
  </si>
  <si>
    <t>ALEXANDRE BESSINGER</t>
  </si>
  <si>
    <t>ALEXANDRE BRESSINGER</t>
  </si>
  <si>
    <t>ANA BEATRIZ LEIROZ</t>
  </si>
  <si>
    <t>LUIZ ANTÔNIO FLUTT</t>
  </si>
  <si>
    <t>PILOCARPINA</t>
  </si>
  <si>
    <t>LUIZ ANTONIO FLUTT</t>
  </si>
  <si>
    <t>ISABEL ROMÃO</t>
  </si>
  <si>
    <t>GESSY GUIMARÃES</t>
  </si>
  <si>
    <t>ROVASTATINA</t>
  </si>
  <si>
    <t>FABIANA BARBOSA ASSUNÇÃO</t>
  </si>
  <si>
    <t>FABIANA BARBOSA ASSUNÇAO</t>
  </si>
  <si>
    <t>LISLEICY</t>
  </si>
  <si>
    <t>VANESSA RANGEL</t>
  </si>
  <si>
    <t>RAFAELA ORLOW</t>
  </si>
  <si>
    <t>NATALIA BARROS</t>
  </si>
  <si>
    <t>DEBORAH SALES</t>
  </si>
  <si>
    <t>LEVOX 50MG 2X DIA</t>
  </si>
  <si>
    <t>FERNANDA ROCHA</t>
  </si>
  <si>
    <t>EGLE MARIA BRANDÃO</t>
  </si>
  <si>
    <t>EGLE BRANDÃO</t>
  </si>
  <si>
    <t>FABRICIO ALVERCA</t>
  </si>
  <si>
    <t>VIRGINIA RICCOBENE</t>
  </si>
  <si>
    <t>PATRICIA PIMENTA</t>
  </si>
  <si>
    <t>NICOLAS AVELINO DA SILVA</t>
  </si>
  <si>
    <t>NICOLAS AVELINO</t>
  </si>
  <si>
    <t>JOSEANE SEABRA DA SILVA</t>
  </si>
  <si>
    <t>JOSEANE SEABRA</t>
  </si>
  <si>
    <t>TAMIRES DUARTE</t>
  </si>
  <si>
    <t>GLAUCIA FIALHO</t>
  </si>
  <si>
    <t xml:space="preserve">GLAUCIA FIALHO </t>
  </si>
  <si>
    <t>MARIANA COSTA LOIOLA</t>
  </si>
  <si>
    <t>MARIANA COSTA FIALHO</t>
  </si>
  <si>
    <t>MARIANA LOIOLA</t>
  </si>
  <si>
    <t>VICTOR BACALHAO</t>
  </si>
  <si>
    <t>JESSICA RODRIGUES</t>
  </si>
  <si>
    <t>JESSCA RODRIGUES</t>
  </si>
  <si>
    <t>ELISANGELA NASCIMENTO</t>
  </si>
  <si>
    <t>LUIZ UZEDA</t>
  </si>
  <si>
    <t>DANIELE FELICIANO</t>
  </si>
  <si>
    <t>DANIELE NASCIMENTO</t>
  </si>
  <si>
    <t>ELOISA FROES GRECO</t>
  </si>
  <si>
    <t>ELOISA GRECO</t>
  </si>
  <si>
    <t>VICTOR JOSE</t>
  </si>
  <si>
    <t>AIRLA DIAS BARBOSA</t>
  </si>
  <si>
    <t>LEVOTIROXINASODICA</t>
  </si>
  <si>
    <t>AIRLA BARBOSA</t>
  </si>
  <si>
    <t>PATRICIA AQUEN CID</t>
  </si>
  <si>
    <t>PATRICIA CID</t>
  </si>
  <si>
    <t>LUCAS RAMOS DE ANDRADE</t>
  </si>
  <si>
    <t>LUCAS RAMOS</t>
  </si>
  <si>
    <t>MARIANA VAZ</t>
  </si>
  <si>
    <t>AMITRIPTILINA</t>
  </si>
  <si>
    <t>LUAN THOMAZINHO</t>
  </si>
  <si>
    <t>CAROL FEIJÓ</t>
  </si>
  <si>
    <t>MARIANA MONTEIRO</t>
  </si>
  <si>
    <t>LÍVIA PEREIRA</t>
  </si>
  <si>
    <t>LÍVIA PEREIRA DE LIMA</t>
  </si>
  <si>
    <t>ÁCIDO FÓLICO</t>
  </si>
  <si>
    <t>BRUNA DE MATOS PEREIRA</t>
  </si>
  <si>
    <t>SIMONE REIS BARBOSA</t>
  </si>
  <si>
    <t>FLAVIA NATHALIA CHAVES</t>
  </si>
  <si>
    <t>OTONIEL</t>
  </si>
  <si>
    <t>RAFAEL</t>
  </si>
  <si>
    <t>HÉLCIO</t>
  </si>
  <si>
    <t>CÍNTHIA LEITE</t>
  </si>
  <si>
    <t>DANIEL SANTOS</t>
  </si>
  <si>
    <t>ANGELA MARIA DIOGO</t>
  </si>
  <si>
    <t>ANGELA DIOGO</t>
  </si>
  <si>
    <t>ANDRÉ LUIS PAIS MOREIRA</t>
  </si>
  <si>
    <t>ANDRÉ MOREIRA</t>
  </si>
  <si>
    <t>RAPHAEL XAVIER</t>
  </si>
  <si>
    <t>TÉRCIA MALTA</t>
  </si>
  <si>
    <t>TERCIA MALTA</t>
  </si>
  <si>
    <t>CARINA MOREIRA</t>
  </si>
  <si>
    <t>BIANCA MOREIRA</t>
  </si>
  <si>
    <t>RAFAEL VIEIRA</t>
  </si>
  <si>
    <t>OTONIEL LOPES</t>
  </si>
  <si>
    <t>ANNE MOURA</t>
  </si>
  <si>
    <t>ISABELA CABRAL</t>
  </si>
  <si>
    <t>LIDIANE SANTOS</t>
  </si>
  <si>
    <t>CLARISSA MARQUES</t>
  </si>
  <si>
    <t>FELIPE VALLE</t>
  </si>
  <si>
    <t>FELIPE VALE</t>
  </si>
  <si>
    <t xml:space="preserve">KARLA SANTIAGO </t>
  </si>
  <si>
    <t>KARLA SANTIAGO</t>
  </si>
  <si>
    <t>HEYTOR QUEIROZ</t>
  </si>
  <si>
    <t>KENIA ALEXANDRINA</t>
  </si>
  <si>
    <t>TAMARA SOUZA</t>
  </si>
  <si>
    <t xml:space="preserve">WALKIRIA DE ARAUJO </t>
  </si>
  <si>
    <t>WALKIRIA DE ARAUJO</t>
  </si>
  <si>
    <t>CAROLINA SILVA</t>
  </si>
  <si>
    <t>BRUNO GASPARINI</t>
  </si>
  <si>
    <t>ATURGYL</t>
  </si>
  <si>
    <t>MAURIA VIEGAS</t>
  </si>
  <si>
    <t>LETICIA AMARAL</t>
  </si>
  <si>
    <t>LETÍCIA AMARAL</t>
  </si>
  <si>
    <t>LEANDRO CALAZANS</t>
  </si>
  <si>
    <t>WAL FRANCA</t>
  </si>
  <si>
    <t>WAL FRANÇA</t>
  </si>
  <si>
    <t>ANGELA MACHADO</t>
  </si>
  <si>
    <t>MONTELUCASTE DE POTASSIO</t>
  </si>
  <si>
    <t>JOSAYRA AYRES</t>
  </si>
  <si>
    <t>POLARAMINE</t>
  </si>
  <si>
    <t>BÁRBARA ESTEVES</t>
  </si>
  <si>
    <t>BARBARA ESTEVES</t>
  </si>
  <si>
    <t>JULIANA PINHEIRO</t>
  </si>
  <si>
    <t>TAMARA JOYCE</t>
  </si>
  <si>
    <t>THAMARA JOYCE</t>
  </si>
  <si>
    <t>MARISTELA ANDRES</t>
  </si>
  <si>
    <t>GABAPENTINA, AMITRIPTILINA (CEFAL)</t>
  </si>
  <si>
    <t>JULIANA DA SILVA COSTA</t>
  </si>
  <si>
    <t>JULIANA COSTA</t>
  </si>
  <si>
    <t>VINICIUS TRIANE</t>
  </si>
  <si>
    <t>GABRIELA DA SILVA DE FREITAS</t>
  </si>
  <si>
    <t>CAROLINA COELHO</t>
  </si>
  <si>
    <t>DOUGLAS RIBEIRO</t>
  </si>
  <si>
    <t>DOUGLAS ALVES RIBEIRO</t>
  </si>
  <si>
    <t>KELLY CORTES DE OLIVEIRA</t>
  </si>
  <si>
    <t>KELLY CORTES</t>
  </si>
  <si>
    <t xml:space="preserve">KELLY CORTES </t>
  </si>
  <si>
    <t>THAÍS RODRIGUES DE AMORIM</t>
  </si>
  <si>
    <t>THAÍS RODRIGUES</t>
  </si>
  <si>
    <t>AMANDA LOPES ABBAS</t>
  </si>
  <si>
    <t>AMANDA ABBAS</t>
  </si>
  <si>
    <t>NASLE DIBE</t>
  </si>
  <si>
    <t>EXCLUÍDOS</t>
  </si>
  <si>
    <t>HÉLCIO SANTOS</t>
  </si>
  <si>
    <t>ATIVO A</t>
  </si>
  <si>
    <t>ATIVO B</t>
  </si>
  <si>
    <t>IPAQ CÓDIGO</t>
  </si>
  <si>
    <t>%PREDITO IMC</t>
  </si>
  <si>
    <t>%PREDITO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</si>
</sst>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2" fontId="0" fillId="3" borderId="0" xfId="0" applyNumberFormat="1" applyFill="1"/>
    <xf numFmtId="0" fontId="0" fillId="3" borderId="3" xfId="0" applyFill="1" applyBorder="1"/>
    <xf numFmtId="0" fontId="1" fillId="3" borderId="0" xfId="0" applyFont="1" applyFill="1" applyAlignment="1">
      <alignment horizontal="center"/>
    </xf>
    <xf numFmtId="0" fontId="0" fillId="3" borderId="0" xfId="0" quotePrefix="1" applyFill="1"/>
    <xf numFmtId="0" fontId="3" fillId="3" borderId="0" xfId="0" applyFont="1" applyFill="1"/>
    <xf numFmtId="0" fontId="1" fillId="3" borderId="0" xfId="0" applyFont="1" applyFill="1"/>
    <xf numFmtId="2" fontId="1" fillId="3" borderId="0" xfId="0" applyNumberFormat="1" applyFont="1" applyFill="1" applyAlignment="1">
      <alignment horizontal="center"/>
    </xf>
    <xf numFmtId="2" fontId="1" fillId="3" borderId="0" xfId="0" applyNumberFormat="1" applyFont="1" applyFill="1"/>
    <xf numFmtId="0" fontId="0" fillId="3" borderId="0" xfId="1" applyNumberFormat="1" applyFont="1" applyFill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3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91"/>
  <sheetViews>
    <sheetView workbookViewId="0"/>
  </sheetViews>
  <sheetFormatPr baseColWidth="10" defaultColWidth="9.1640625" defaultRowHeight="14.25" customHeight="1" x14ac:dyDescent="0.2"/>
  <cols>
    <col min="1" max="1" width="30" style="4" bestFit="1" customWidth="1"/>
    <col min="2" max="5" width="9.1640625" style="4"/>
    <col min="6" max="6" width="9.1640625" style="7"/>
    <col min="7" max="8" width="9.1640625" style="4"/>
    <col min="9" max="9" width="11" style="4" bestFit="1" customWidth="1"/>
    <col min="10" max="10" width="11.5" style="4" bestFit="1" customWidth="1"/>
    <col min="11" max="11" width="32" style="4" bestFit="1" customWidth="1"/>
    <col min="12" max="12" width="11.6640625" style="4" bestFit="1" customWidth="1"/>
    <col min="13" max="13" width="16.5" style="4" bestFit="1" customWidth="1"/>
    <col min="14" max="14" width="13.33203125" style="4" bestFit="1" customWidth="1"/>
    <col min="15" max="15" width="22.1640625" style="4" bestFit="1" customWidth="1"/>
    <col min="16" max="16384" width="9.1640625" style="4"/>
  </cols>
  <sheetData>
    <row r="1" spans="1:15" s="9" customFormat="1" ht="14.25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3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312</v>
      </c>
    </row>
    <row r="2" spans="1:15" ht="14.25" customHeight="1" x14ac:dyDescent="0.2">
      <c r="A2" s="4" t="s">
        <v>36</v>
      </c>
      <c r="B2" s="4">
        <v>0</v>
      </c>
      <c r="C2" s="4">
        <v>32</v>
      </c>
      <c r="D2" s="4">
        <v>1.73</v>
      </c>
      <c r="E2" s="4">
        <v>59</v>
      </c>
      <c r="F2" s="7">
        <f t="shared" ref="F2:F12" si="0">E2/(D2*D2)</f>
        <v>19.713321527615356</v>
      </c>
      <c r="G2" s="4">
        <v>100</v>
      </c>
      <c r="H2" s="4">
        <v>65</v>
      </c>
      <c r="I2" s="4">
        <v>0</v>
      </c>
      <c r="J2" s="4">
        <v>0</v>
      </c>
      <c r="K2" s="4">
        <v>0</v>
      </c>
      <c r="L2" s="4">
        <v>0</v>
      </c>
      <c r="M2" s="4" t="s">
        <v>148</v>
      </c>
      <c r="N2" s="4">
        <v>3</v>
      </c>
    </row>
    <row r="3" spans="1:15" ht="14.25" customHeight="1" x14ac:dyDescent="0.2">
      <c r="A3" s="4" t="s">
        <v>37</v>
      </c>
      <c r="B3" s="4">
        <v>0</v>
      </c>
      <c r="C3" s="4">
        <v>35</v>
      </c>
      <c r="D3" s="4">
        <v>1.64</v>
      </c>
      <c r="E3" s="4">
        <v>57</v>
      </c>
      <c r="F3" s="7">
        <f t="shared" si="0"/>
        <v>21.192742415229034</v>
      </c>
      <c r="G3" s="4">
        <v>110</v>
      </c>
      <c r="H3" s="4">
        <v>60</v>
      </c>
      <c r="I3" s="4">
        <v>0</v>
      </c>
      <c r="J3" s="4">
        <v>0</v>
      </c>
      <c r="K3" s="4">
        <v>0</v>
      </c>
      <c r="L3" s="4">
        <v>0</v>
      </c>
      <c r="M3" s="4" t="s">
        <v>310</v>
      </c>
      <c r="N3" s="4">
        <v>2</v>
      </c>
    </row>
    <row r="4" spans="1:15" ht="14.25" customHeight="1" x14ac:dyDescent="0.2">
      <c r="A4" s="4" t="s">
        <v>39</v>
      </c>
      <c r="B4" s="4">
        <v>0</v>
      </c>
      <c r="C4" s="4">
        <v>23</v>
      </c>
      <c r="D4" s="4">
        <v>1.56</v>
      </c>
      <c r="E4" s="4">
        <v>72</v>
      </c>
      <c r="F4" s="7">
        <f t="shared" si="0"/>
        <v>29.585798816568044</v>
      </c>
      <c r="G4" s="4">
        <v>100</v>
      </c>
      <c r="H4" s="4">
        <v>70</v>
      </c>
      <c r="I4" s="4">
        <v>0</v>
      </c>
      <c r="J4" s="4">
        <v>0</v>
      </c>
      <c r="K4" s="4">
        <v>0</v>
      </c>
      <c r="L4" s="4">
        <v>0</v>
      </c>
      <c r="M4" s="4" t="s">
        <v>310</v>
      </c>
      <c r="N4" s="4">
        <v>2</v>
      </c>
    </row>
    <row r="5" spans="1:15" ht="14.25" customHeight="1" x14ac:dyDescent="0.2">
      <c r="A5" s="4" t="s">
        <v>40</v>
      </c>
      <c r="B5" s="4">
        <v>0</v>
      </c>
      <c r="C5" s="4">
        <v>22</v>
      </c>
      <c r="D5" s="4">
        <v>1.65</v>
      </c>
      <c r="E5" s="4">
        <v>52</v>
      </c>
      <c r="F5" s="7">
        <f t="shared" si="0"/>
        <v>19.100091827364558</v>
      </c>
      <c r="G5" s="4">
        <v>120</v>
      </c>
      <c r="H5" s="4">
        <v>80</v>
      </c>
      <c r="I5" s="4">
        <v>0</v>
      </c>
      <c r="J5" s="4">
        <v>0</v>
      </c>
      <c r="K5" s="4" t="s">
        <v>41</v>
      </c>
      <c r="L5" s="4">
        <v>0</v>
      </c>
      <c r="M5" s="4" t="s">
        <v>310</v>
      </c>
      <c r="N5" s="4">
        <v>2</v>
      </c>
    </row>
    <row r="6" spans="1:15" ht="14.25" customHeight="1" x14ac:dyDescent="0.2">
      <c r="A6" s="4" t="s">
        <v>42</v>
      </c>
      <c r="B6" s="4">
        <v>0</v>
      </c>
      <c r="C6" s="4">
        <v>28</v>
      </c>
      <c r="D6" s="10">
        <v>1.58</v>
      </c>
      <c r="E6" s="4">
        <v>61.2</v>
      </c>
      <c r="F6" s="7">
        <f t="shared" si="0"/>
        <v>24.515302034930297</v>
      </c>
      <c r="G6" s="4">
        <v>120</v>
      </c>
      <c r="H6" s="4">
        <v>80</v>
      </c>
      <c r="I6" s="4">
        <v>0</v>
      </c>
      <c r="J6" s="4">
        <v>0</v>
      </c>
      <c r="K6" s="4">
        <v>0</v>
      </c>
      <c r="L6" s="4">
        <v>0</v>
      </c>
      <c r="M6" s="4" t="s">
        <v>148</v>
      </c>
      <c r="N6" s="4">
        <v>3</v>
      </c>
    </row>
    <row r="7" spans="1:15" ht="14.25" customHeight="1" x14ac:dyDescent="0.2">
      <c r="A7" s="4" t="s">
        <v>43</v>
      </c>
      <c r="B7" s="4">
        <v>0</v>
      </c>
      <c r="C7" s="4">
        <v>31</v>
      </c>
      <c r="D7" s="4">
        <v>1.59</v>
      </c>
      <c r="E7" s="4">
        <v>73</v>
      </c>
      <c r="F7" s="7">
        <f t="shared" si="0"/>
        <v>28.875440053795337</v>
      </c>
      <c r="G7" s="4">
        <v>120</v>
      </c>
      <c r="H7" s="4">
        <v>80</v>
      </c>
      <c r="I7" s="4">
        <v>0</v>
      </c>
      <c r="J7" s="4">
        <v>0</v>
      </c>
      <c r="K7" s="4" t="s">
        <v>41</v>
      </c>
      <c r="L7" s="4">
        <v>0</v>
      </c>
      <c r="M7" s="4" t="s">
        <v>69</v>
      </c>
      <c r="N7" s="4">
        <v>0</v>
      </c>
    </row>
    <row r="8" spans="1:15" ht="14.25" customHeight="1" x14ac:dyDescent="0.2">
      <c r="A8" s="4" t="s">
        <v>44</v>
      </c>
      <c r="B8" s="4">
        <v>0</v>
      </c>
      <c r="C8" s="4">
        <v>34</v>
      </c>
      <c r="D8" s="4">
        <v>1.8</v>
      </c>
      <c r="E8" s="4">
        <v>90</v>
      </c>
      <c r="F8" s="7">
        <f t="shared" si="0"/>
        <v>27.777777777777775</v>
      </c>
      <c r="G8" s="4">
        <v>120</v>
      </c>
      <c r="H8" s="4">
        <v>80</v>
      </c>
      <c r="I8" s="4">
        <v>0</v>
      </c>
      <c r="J8" s="4">
        <v>0</v>
      </c>
      <c r="K8" s="4">
        <v>0</v>
      </c>
      <c r="L8" s="4">
        <v>0</v>
      </c>
      <c r="M8" s="4" t="s">
        <v>310</v>
      </c>
      <c r="N8" s="4">
        <v>2</v>
      </c>
    </row>
    <row r="9" spans="1:15" ht="14.25" customHeight="1" x14ac:dyDescent="0.2">
      <c r="A9" s="4" t="s">
        <v>45</v>
      </c>
      <c r="B9" s="4">
        <v>0</v>
      </c>
      <c r="C9" s="4">
        <v>29</v>
      </c>
      <c r="D9" s="4">
        <v>1.6</v>
      </c>
      <c r="E9" s="4">
        <v>68</v>
      </c>
      <c r="F9" s="7">
        <f t="shared" si="0"/>
        <v>26.562499999999996</v>
      </c>
      <c r="G9" s="4">
        <v>110</v>
      </c>
      <c r="H9" s="4">
        <v>70</v>
      </c>
      <c r="I9" s="4">
        <v>0</v>
      </c>
      <c r="J9" s="4">
        <v>0</v>
      </c>
      <c r="K9" s="4" t="s">
        <v>41</v>
      </c>
      <c r="L9" s="4">
        <v>0</v>
      </c>
      <c r="M9" s="4" t="s">
        <v>148</v>
      </c>
      <c r="N9" s="4">
        <v>3</v>
      </c>
    </row>
    <row r="10" spans="1:15" ht="14.25" customHeight="1" x14ac:dyDescent="0.2">
      <c r="A10" s="4" t="s">
        <v>47</v>
      </c>
      <c r="B10" s="4">
        <v>0</v>
      </c>
      <c r="C10" s="4">
        <v>23</v>
      </c>
      <c r="D10" s="4">
        <v>1.65</v>
      </c>
      <c r="E10" s="4">
        <v>83</v>
      </c>
      <c r="F10" s="7">
        <f t="shared" si="0"/>
        <v>30.486685032139579</v>
      </c>
      <c r="G10" s="4">
        <v>130</v>
      </c>
      <c r="H10" s="4">
        <v>70</v>
      </c>
      <c r="I10" s="4">
        <v>0</v>
      </c>
      <c r="J10" s="4">
        <v>0</v>
      </c>
      <c r="K10" s="4" t="s">
        <v>41</v>
      </c>
      <c r="L10" s="4">
        <v>0</v>
      </c>
      <c r="M10" s="4" t="s">
        <v>310</v>
      </c>
      <c r="N10" s="4">
        <v>2</v>
      </c>
    </row>
    <row r="11" spans="1:15" ht="14.25" customHeight="1" x14ac:dyDescent="0.2">
      <c r="A11" s="4" t="s">
        <v>51</v>
      </c>
      <c r="B11" s="4">
        <v>0</v>
      </c>
      <c r="C11" s="4">
        <v>24</v>
      </c>
      <c r="D11" s="4">
        <v>1.7</v>
      </c>
      <c r="E11" s="4">
        <v>70</v>
      </c>
      <c r="F11" s="7">
        <f t="shared" si="0"/>
        <v>24.221453287197235</v>
      </c>
      <c r="G11" s="4">
        <v>120</v>
      </c>
      <c r="H11" s="4">
        <v>80</v>
      </c>
      <c r="I11" s="4">
        <v>1</v>
      </c>
      <c r="J11" s="4">
        <v>0</v>
      </c>
      <c r="K11" s="4" t="s">
        <v>58</v>
      </c>
      <c r="L11" s="4">
        <v>1</v>
      </c>
      <c r="M11" s="4" t="s">
        <v>148</v>
      </c>
      <c r="N11" s="4">
        <v>3</v>
      </c>
      <c r="O11" s="11"/>
    </row>
    <row r="12" spans="1:15" ht="14.25" customHeight="1" x14ac:dyDescent="0.2">
      <c r="A12" s="4" t="s">
        <v>52</v>
      </c>
      <c r="B12" s="4">
        <v>0</v>
      </c>
      <c r="C12" s="4">
        <v>27</v>
      </c>
      <c r="D12" s="4">
        <v>1.54</v>
      </c>
      <c r="E12" s="4">
        <v>50</v>
      </c>
      <c r="F12" s="7">
        <f t="shared" si="0"/>
        <v>21.0828132906055</v>
      </c>
      <c r="G12" s="4">
        <v>110</v>
      </c>
      <c r="H12" s="4">
        <v>70</v>
      </c>
      <c r="I12" s="4">
        <v>0</v>
      </c>
      <c r="J12" s="4">
        <v>0</v>
      </c>
      <c r="K12" s="4" t="s">
        <v>63</v>
      </c>
      <c r="L12" s="4">
        <v>0</v>
      </c>
      <c r="M12" s="4" t="s">
        <v>69</v>
      </c>
      <c r="N12" s="4">
        <v>0</v>
      </c>
    </row>
    <row r="13" spans="1:15" ht="14.25" customHeight="1" x14ac:dyDescent="0.2">
      <c r="A13" s="4" t="s">
        <v>53</v>
      </c>
      <c r="B13" s="4">
        <v>0</v>
      </c>
      <c r="C13" s="4">
        <v>26</v>
      </c>
      <c r="D13" s="4">
        <v>1.73</v>
      </c>
      <c r="E13" s="4">
        <v>73</v>
      </c>
      <c r="F13" s="7">
        <f t="shared" ref="F13:F84" si="1">E13/(D13*D13)</f>
        <v>24.391058839252899</v>
      </c>
      <c r="G13" s="4">
        <v>110</v>
      </c>
      <c r="H13" s="4">
        <v>70</v>
      </c>
      <c r="I13" s="4">
        <v>0</v>
      </c>
      <c r="J13" s="4">
        <v>0</v>
      </c>
      <c r="K13" s="4" t="s">
        <v>59</v>
      </c>
      <c r="L13" s="4">
        <v>0</v>
      </c>
      <c r="M13" s="4" t="s">
        <v>310</v>
      </c>
      <c r="N13" s="4">
        <v>2</v>
      </c>
    </row>
    <row r="14" spans="1:15" ht="14.25" customHeight="1" x14ac:dyDescent="0.2">
      <c r="A14" s="4" t="s">
        <v>62</v>
      </c>
      <c r="B14" s="4">
        <v>0</v>
      </c>
      <c r="C14" s="4">
        <v>25</v>
      </c>
      <c r="D14" s="4">
        <v>1.68</v>
      </c>
      <c r="E14" s="4">
        <v>57</v>
      </c>
      <c r="F14" s="7">
        <f t="shared" si="1"/>
        <v>20.195578231292519</v>
      </c>
      <c r="G14" s="4">
        <v>120</v>
      </c>
      <c r="H14" s="4">
        <v>80</v>
      </c>
      <c r="I14" s="4">
        <v>0</v>
      </c>
      <c r="J14" s="4">
        <v>0</v>
      </c>
      <c r="K14" s="4" t="s">
        <v>63</v>
      </c>
      <c r="L14" s="4">
        <v>0</v>
      </c>
      <c r="M14" s="4" t="s">
        <v>148</v>
      </c>
      <c r="N14" s="4">
        <v>3</v>
      </c>
    </row>
    <row r="15" spans="1:15" ht="14.25" customHeight="1" x14ac:dyDescent="0.2">
      <c r="A15" s="4" t="s">
        <v>55</v>
      </c>
      <c r="B15" s="4">
        <v>0</v>
      </c>
      <c r="C15" s="4">
        <v>25</v>
      </c>
      <c r="D15" s="4">
        <v>1.61</v>
      </c>
      <c r="E15" s="4">
        <v>60</v>
      </c>
      <c r="F15" s="7">
        <f t="shared" si="1"/>
        <v>23.147255121330193</v>
      </c>
      <c r="G15" s="4">
        <v>120</v>
      </c>
      <c r="H15" s="4">
        <v>80</v>
      </c>
      <c r="I15" s="4">
        <v>0</v>
      </c>
      <c r="J15" s="4">
        <v>0</v>
      </c>
      <c r="K15" s="4" t="s">
        <v>63</v>
      </c>
      <c r="L15" s="4">
        <v>0</v>
      </c>
      <c r="M15" s="4" t="s">
        <v>310</v>
      </c>
      <c r="N15" s="4">
        <v>2</v>
      </c>
    </row>
    <row r="16" spans="1:15" ht="14.25" customHeight="1" x14ac:dyDescent="0.2">
      <c r="A16" s="4" t="s">
        <v>56</v>
      </c>
      <c r="B16" s="4">
        <v>0</v>
      </c>
      <c r="C16" s="4">
        <v>25</v>
      </c>
      <c r="D16" s="4">
        <v>1.64</v>
      </c>
      <c r="E16" s="4">
        <v>73</v>
      </c>
      <c r="F16" s="7">
        <f t="shared" si="1"/>
        <v>27.141582391433676</v>
      </c>
      <c r="G16" s="4">
        <v>110</v>
      </c>
      <c r="H16" s="4">
        <v>70</v>
      </c>
      <c r="I16" s="4">
        <v>0</v>
      </c>
      <c r="J16" s="4">
        <v>0</v>
      </c>
      <c r="K16" s="4">
        <v>0</v>
      </c>
      <c r="L16" s="4">
        <v>0</v>
      </c>
      <c r="M16" s="4" t="s">
        <v>69</v>
      </c>
      <c r="N16" s="4">
        <v>0</v>
      </c>
    </row>
    <row r="17" spans="1:73" ht="14.25" customHeight="1" x14ac:dyDescent="0.2">
      <c r="A17" s="4" t="s">
        <v>32</v>
      </c>
      <c r="B17" s="4">
        <v>1</v>
      </c>
      <c r="C17" s="4">
        <v>33</v>
      </c>
      <c r="D17" s="4">
        <v>1.86</v>
      </c>
      <c r="E17" s="4">
        <v>86</v>
      </c>
      <c r="F17" s="7">
        <f t="shared" si="1"/>
        <v>24.858365128916635</v>
      </c>
      <c r="G17" s="4">
        <v>110</v>
      </c>
      <c r="H17" s="4">
        <v>70</v>
      </c>
      <c r="I17" s="4">
        <v>0</v>
      </c>
      <c r="J17" s="4">
        <v>0</v>
      </c>
      <c r="K17" s="4">
        <v>0</v>
      </c>
      <c r="L17" s="4">
        <v>0</v>
      </c>
      <c r="M17" s="4" t="s">
        <v>148</v>
      </c>
      <c r="N17" s="4">
        <v>3</v>
      </c>
    </row>
    <row r="18" spans="1:73" ht="14.25" customHeight="1" x14ac:dyDescent="0.2">
      <c r="A18" s="4" t="s">
        <v>34</v>
      </c>
      <c r="B18" s="4">
        <v>1</v>
      </c>
      <c r="C18" s="4">
        <v>26</v>
      </c>
      <c r="D18" s="4">
        <v>1.78</v>
      </c>
      <c r="E18" s="4">
        <v>74</v>
      </c>
      <c r="F18" s="7">
        <f t="shared" si="1"/>
        <v>23.355636914530994</v>
      </c>
      <c r="G18" s="4">
        <v>130</v>
      </c>
      <c r="H18" s="4">
        <v>90</v>
      </c>
      <c r="I18" s="4">
        <v>0</v>
      </c>
      <c r="J18" s="4">
        <v>0</v>
      </c>
      <c r="K18" s="4">
        <v>0</v>
      </c>
      <c r="L18" s="4">
        <v>0</v>
      </c>
      <c r="M18" s="4" t="s">
        <v>148</v>
      </c>
      <c r="N18" s="4">
        <v>3</v>
      </c>
    </row>
    <row r="19" spans="1:73" ht="14.25" customHeight="1" x14ac:dyDescent="0.2">
      <c r="A19" s="4" t="s">
        <v>35</v>
      </c>
      <c r="B19" s="4">
        <v>1</v>
      </c>
      <c r="C19" s="4">
        <v>29</v>
      </c>
      <c r="D19" s="4">
        <v>1.75</v>
      </c>
      <c r="E19" s="4">
        <v>74</v>
      </c>
      <c r="F19" s="7">
        <f t="shared" si="1"/>
        <v>24.163265306122447</v>
      </c>
      <c r="G19" s="4">
        <v>110</v>
      </c>
      <c r="H19" s="4">
        <v>70</v>
      </c>
      <c r="I19" s="4">
        <v>0</v>
      </c>
      <c r="J19" s="4">
        <v>0</v>
      </c>
      <c r="K19" s="4">
        <v>0</v>
      </c>
      <c r="L19" s="4">
        <v>0</v>
      </c>
      <c r="M19" s="4" t="s">
        <v>69</v>
      </c>
      <c r="N19" s="4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</row>
    <row r="20" spans="1:73" ht="14.25" customHeight="1" x14ac:dyDescent="0.2">
      <c r="A20" s="4" t="s">
        <v>38</v>
      </c>
      <c r="B20" s="4">
        <v>1</v>
      </c>
      <c r="C20" s="4">
        <v>28</v>
      </c>
      <c r="D20" s="4">
        <v>1.78</v>
      </c>
      <c r="E20" s="4">
        <v>92</v>
      </c>
      <c r="F20" s="7">
        <f t="shared" si="1"/>
        <v>29.036737785633125</v>
      </c>
      <c r="G20" s="4">
        <v>130</v>
      </c>
      <c r="H20" s="4">
        <v>80</v>
      </c>
      <c r="I20" s="4">
        <v>0</v>
      </c>
      <c r="J20" s="4">
        <v>0</v>
      </c>
      <c r="K20" s="4">
        <v>0</v>
      </c>
      <c r="L20" s="4">
        <v>0</v>
      </c>
      <c r="M20" s="4" t="s">
        <v>310</v>
      </c>
      <c r="N20" s="4">
        <v>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</row>
    <row r="21" spans="1:73" ht="14.25" customHeight="1" x14ac:dyDescent="0.2">
      <c r="A21" s="4" t="s">
        <v>46</v>
      </c>
      <c r="B21" s="4">
        <v>1</v>
      </c>
      <c r="C21" s="4">
        <v>34</v>
      </c>
      <c r="D21" s="4">
        <v>1.82</v>
      </c>
      <c r="E21" s="4">
        <v>98</v>
      </c>
      <c r="F21" s="7">
        <f t="shared" si="1"/>
        <v>29.585798816568044</v>
      </c>
      <c r="G21" s="4">
        <v>130</v>
      </c>
      <c r="H21" s="4">
        <v>90</v>
      </c>
      <c r="I21" s="4">
        <v>0</v>
      </c>
      <c r="J21" s="4">
        <v>0</v>
      </c>
      <c r="K21" s="4">
        <v>0</v>
      </c>
      <c r="L21" s="4">
        <v>0</v>
      </c>
      <c r="M21" s="4" t="s">
        <v>310</v>
      </c>
      <c r="N21" s="4">
        <v>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</row>
    <row r="22" spans="1:73" ht="14.25" customHeight="1" x14ac:dyDescent="0.2">
      <c r="A22" s="4" t="s">
        <v>48</v>
      </c>
      <c r="B22" s="4">
        <v>1</v>
      </c>
      <c r="C22" s="4">
        <v>27</v>
      </c>
      <c r="D22" s="4">
        <v>1.71</v>
      </c>
      <c r="E22" s="4">
        <v>83</v>
      </c>
      <c r="F22" s="7">
        <f t="shared" si="1"/>
        <v>28.384802161348794</v>
      </c>
      <c r="G22" s="4">
        <v>120</v>
      </c>
      <c r="H22" s="4">
        <v>60</v>
      </c>
      <c r="I22" s="4">
        <v>0</v>
      </c>
      <c r="J22" s="4">
        <v>0</v>
      </c>
      <c r="K22" s="4">
        <v>0</v>
      </c>
      <c r="L22" s="4">
        <v>0</v>
      </c>
      <c r="M22" s="4" t="s">
        <v>310</v>
      </c>
      <c r="N22" s="4">
        <v>2</v>
      </c>
    </row>
    <row r="23" spans="1:73" ht="14.25" customHeight="1" x14ac:dyDescent="0.2">
      <c r="A23" s="4" t="s">
        <v>49</v>
      </c>
      <c r="B23" s="4">
        <v>1</v>
      </c>
      <c r="C23" s="4">
        <v>34</v>
      </c>
      <c r="D23" s="4">
        <v>1.7</v>
      </c>
      <c r="E23" s="4">
        <v>88</v>
      </c>
      <c r="F23" s="7">
        <f t="shared" si="1"/>
        <v>30.449826989619382</v>
      </c>
      <c r="G23" s="4">
        <v>130</v>
      </c>
      <c r="H23" s="4">
        <v>90</v>
      </c>
      <c r="I23" s="4">
        <v>0</v>
      </c>
      <c r="J23" s="4">
        <v>0</v>
      </c>
      <c r="K23" s="4" t="s">
        <v>57</v>
      </c>
      <c r="L23" s="4">
        <v>0</v>
      </c>
      <c r="M23" s="4" t="s">
        <v>148</v>
      </c>
      <c r="N23" s="4">
        <v>3</v>
      </c>
    </row>
    <row r="24" spans="1:73" ht="14.25" customHeight="1" x14ac:dyDescent="0.2">
      <c r="A24" s="4" t="s">
        <v>50</v>
      </c>
      <c r="B24" s="4">
        <v>1</v>
      </c>
      <c r="C24" s="4">
        <v>24</v>
      </c>
      <c r="D24" s="4">
        <v>1.7</v>
      </c>
      <c r="E24" s="4">
        <v>60</v>
      </c>
      <c r="F24" s="7">
        <f t="shared" si="1"/>
        <v>20.761245674740486</v>
      </c>
      <c r="G24" s="4">
        <v>120</v>
      </c>
      <c r="H24" s="4">
        <v>80</v>
      </c>
      <c r="I24" s="4">
        <v>0</v>
      </c>
      <c r="J24" s="4">
        <v>0</v>
      </c>
      <c r="K24" s="4">
        <v>0</v>
      </c>
      <c r="L24" s="4">
        <v>0</v>
      </c>
      <c r="M24" s="4" t="s">
        <v>310</v>
      </c>
      <c r="N24" s="4">
        <v>2</v>
      </c>
    </row>
    <row r="25" spans="1:73" ht="14.25" customHeight="1" x14ac:dyDescent="0.2">
      <c r="A25" s="4" t="s">
        <v>61</v>
      </c>
      <c r="B25" s="4">
        <v>1</v>
      </c>
      <c r="C25" s="4">
        <v>27</v>
      </c>
      <c r="D25" s="4">
        <v>1.7</v>
      </c>
      <c r="E25" s="4">
        <v>67</v>
      </c>
      <c r="F25" s="7">
        <f t="shared" si="1"/>
        <v>23.183391003460208</v>
      </c>
      <c r="G25" s="4">
        <v>120</v>
      </c>
      <c r="H25" s="4">
        <v>80</v>
      </c>
      <c r="I25" s="4">
        <v>0</v>
      </c>
      <c r="J25" s="4">
        <v>0</v>
      </c>
      <c r="K25" s="4">
        <v>0</v>
      </c>
      <c r="L25" s="4">
        <v>0</v>
      </c>
      <c r="M25" s="4" t="s">
        <v>310</v>
      </c>
      <c r="N25" s="4">
        <v>2</v>
      </c>
    </row>
    <row r="26" spans="1:73" ht="14.25" customHeight="1" x14ac:dyDescent="0.2">
      <c r="A26" s="4" t="s">
        <v>54</v>
      </c>
      <c r="B26" s="4">
        <v>1</v>
      </c>
      <c r="C26" s="4">
        <v>24</v>
      </c>
      <c r="D26" s="4">
        <v>1.76</v>
      </c>
      <c r="E26" s="4">
        <v>78</v>
      </c>
      <c r="F26" s="7">
        <f t="shared" si="1"/>
        <v>25.180785123966942</v>
      </c>
      <c r="G26" s="4">
        <v>120</v>
      </c>
      <c r="H26" s="4">
        <v>80</v>
      </c>
      <c r="I26" s="4">
        <v>0</v>
      </c>
      <c r="J26" s="4">
        <v>0</v>
      </c>
      <c r="K26" s="4">
        <v>0</v>
      </c>
      <c r="L26" s="4">
        <v>0</v>
      </c>
      <c r="M26" s="4" t="s">
        <v>148</v>
      </c>
      <c r="N26" s="4">
        <v>3</v>
      </c>
    </row>
    <row r="27" spans="1:73" ht="14.25" customHeight="1" x14ac:dyDescent="0.2">
      <c r="A27" s="4" t="s">
        <v>65</v>
      </c>
      <c r="B27" s="4">
        <v>0</v>
      </c>
      <c r="C27" s="4">
        <v>28</v>
      </c>
      <c r="D27" s="4">
        <v>1.73</v>
      </c>
      <c r="E27" s="4">
        <v>72</v>
      </c>
      <c r="F27" s="7">
        <f t="shared" si="1"/>
        <v>24.056934745564501</v>
      </c>
      <c r="G27" s="4">
        <v>130</v>
      </c>
      <c r="H27" s="4">
        <v>80</v>
      </c>
      <c r="I27" s="4">
        <v>0</v>
      </c>
      <c r="J27" s="4">
        <v>0</v>
      </c>
      <c r="K27" s="4">
        <v>0</v>
      </c>
      <c r="L27" s="4">
        <v>0</v>
      </c>
      <c r="M27" s="4" t="s">
        <v>310</v>
      </c>
      <c r="N27" s="4">
        <v>2</v>
      </c>
    </row>
    <row r="28" spans="1:73" ht="14.25" customHeight="1" x14ac:dyDescent="0.2">
      <c r="A28" s="4" t="s">
        <v>66</v>
      </c>
      <c r="B28" s="4">
        <v>0</v>
      </c>
      <c r="C28" s="4">
        <v>26</v>
      </c>
      <c r="D28" s="4">
        <v>1.86</v>
      </c>
      <c r="E28" s="4">
        <v>81</v>
      </c>
      <c r="F28" s="7">
        <f t="shared" si="1"/>
        <v>23.413111342351716</v>
      </c>
      <c r="G28" s="4">
        <v>120</v>
      </c>
      <c r="H28" s="4">
        <v>80</v>
      </c>
      <c r="I28" s="4">
        <v>0</v>
      </c>
      <c r="J28" s="4">
        <v>0</v>
      </c>
      <c r="K28" s="4" t="s">
        <v>67</v>
      </c>
      <c r="L28" s="4">
        <v>0</v>
      </c>
      <c r="M28" s="4" t="s">
        <v>69</v>
      </c>
      <c r="N28" s="4">
        <v>0</v>
      </c>
    </row>
    <row r="29" spans="1:73" ht="14.25" customHeight="1" x14ac:dyDescent="0.2">
      <c r="A29" s="4" t="s">
        <v>68</v>
      </c>
      <c r="B29" s="4">
        <v>0</v>
      </c>
      <c r="C29" s="4">
        <v>28</v>
      </c>
      <c r="D29" s="4">
        <v>1.75</v>
      </c>
      <c r="E29" s="4">
        <v>74</v>
      </c>
      <c r="F29" s="7">
        <f t="shared" si="1"/>
        <v>24.163265306122447</v>
      </c>
      <c r="G29" s="4">
        <v>120</v>
      </c>
      <c r="H29" s="4">
        <v>80</v>
      </c>
      <c r="I29" s="4">
        <v>0</v>
      </c>
      <c r="J29" s="4">
        <v>0</v>
      </c>
      <c r="K29" s="4">
        <v>0</v>
      </c>
      <c r="L29" s="4">
        <v>0</v>
      </c>
      <c r="M29" s="4" t="s">
        <v>69</v>
      </c>
      <c r="N29" s="4">
        <v>0</v>
      </c>
    </row>
    <row r="30" spans="1:73" ht="14.25" customHeight="1" x14ac:dyDescent="0.2">
      <c r="A30" s="4" t="s">
        <v>70</v>
      </c>
      <c r="B30" s="4">
        <v>1</v>
      </c>
      <c r="C30" s="4">
        <v>26</v>
      </c>
      <c r="D30" s="4">
        <v>1.65</v>
      </c>
      <c r="E30" s="4">
        <v>56</v>
      </c>
      <c r="F30" s="7">
        <f t="shared" si="1"/>
        <v>20.569329660238754</v>
      </c>
      <c r="G30" s="4">
        <v>100</v>
      </c>
      <c r="H30" s="4">
        <v>60</v>
      </c>
      <c r="I30" s="4">
        <v>0</v>
      </c>
      <c r="J30" s="4">
        <v>0</v>
      </c>
      <c r="K30" s="4" t="s">
        <v>71</v>
      </c>
      <c r="L30" s="4">
        <v>0</v>
      </c>
      <c r="M30" s="4" t="s">
        <v>69</v>
      </c>
      <c r="N30" s="4">
        <v>0</v>
      </c>
    </row>
    <row r="31" spans="1:73" ht="14.25" customHeight="1" x14ac:dyDescent="0.2">
      <c r="A31" s="4" t="s">
        <v>73</v>
      </c>
      <c r="B31" s="4">
        <v>0</v>
      </c>
      <c r="C31" s="4">
        <v>24</v>
      </c>
      <c r="D31" s="4">
        <v>1.75</v>
      </c>
      <c r="E31" s="4">
        <v>73</v>
      </c>
      <c r="F31" s="7">
        <f t="shared" si="1"/>
        <v>23.836734693877553</v>
      </c>
      <c r="G31" s="4">
        <v>120</v>
      </c>
      <c r="H31" s="4">
        <v>80</v>
      </c>
      <c r="I31" s="4">
        <v>0</v>
      </c>
      <c r="J31" s="4">
        <v>0</v>
      </c>
      <c r="K31" s="4">
        <v>0</v>
      </c>
      <c r="L31" s="4">
        <v>0</v>
      </c>
      <c r="M31" s="4" t="s">
        <v>148</v>
      </c>
      <c r="N31" s="4">
        <v>3</v>
      </c>
    </row>
    <row r="32" spans="1:73" ht="14.25" customHeight="1" x14ac:dyDescent="0.2">
      <c r="A32" s="4" t="s">
        <v>74</v>
      </c>
      <c r="B32" s="4">
        <v>1</v>
      </c>
      <c r="C32" s="4">
        <v>24</v>
      </c>
      <c r="D32" s="4">
        <v>1.68</v>
      </c>
      <c r="E32" s="4">
        <v>91</v>
      </c>
      <c r="F32" s="7">
        <f t="shared" si="1"/>
        <v>32.242063492063494</v>
      </c>
      <c r="G32" s="4">
        <v>120</v>
      </c>
      <c r="H32" s="4">
        <v>80</v>
      </c>
      <c r="I32" s="4">
        <v>0</v>
      </c>
      <c r="J32" s="4">
        <v>0</v>
      </c>
      <c r="K32" s="4" t="s">
        <v>75</v>
      </c>
      <c r="L32" s="4">
        <v>0</v>
      </c>
      <c r="M32" s="4" t="s">
        <v>310</v>
      </c>
      <c r="N32" s="4">
        <v>2</v>
      </c>
    </row>
    <row r="33" spans="1:14" ht="14.25" customHeight="1" x14ac:dyDescent="0.2">
      <c r="A33" s="4" t="s">
        <v>76</v>
      </c>
      <c r="B33" s="4">
        <v>1</v>
      </c>
      <c r="C33" s="4">
        <v>25</v>
      </c>
      <c r="D33" s="4">
        <v>1.82</v>
      </c>
      <c r="E33" s="4">
        <v>92</v>
      </c>
      <c r="F33" s="7">
        <f t="shared" si="1"/>
        <v>27.77442337881898</v>
      </c>
      <c r="G33" s="4">
        <v>140</v>
      </c>
      <c r="H33" s="4">
        <v>80</v>
      </c>
      <c r="I33" s="4">
        <v>0</v>
      </c>
      <c r="J33" s="4">
        <v>0</v>
      </c>
      <c r="K33" s="4">
        <v>0</v>
      </c>
      <c r="L33" s="4">
        <v>0</v>
      </c>
      <c r="M33" s="4" t="s">
        <v>148</v>
      </c>
      <c r="N33" s="4">
        <v>3</v>
      </c>
    </row>
    <row r="34" spans="1:14" ht="14.25" customHeight="1" x14ac:dyDescent="0.2">
      <c r="A34" s="4" t="s">
        <v>77</v>
      </c>
      <c r="B34" s="4">
        <v>0</v>
      </c>
      <c r="C34" s="4">
        <v>24</v>
      </c>
      <c r="D34" s="4">
        <v>1.52</v>
      </c>
      <c r="E34" s="4">
        <v>54</v>
      </c>
      <c r="F34" s="7">
        <f t="shared" si="1"/>
        <v>23.372576177285318</v>
      </c>
      <c r="G34" s="4">
        <v>110</v>
      </c>
      <c r="H34" s="4">
        <v>70</v>
      </c>
      <c r="I34" s="4">
        <v>0</v>
      </c>
      <c r="J34" s="4">
        <v>0</v>
      </c>
      <c r="K34" s="4" t="s">
        <v>78</v>
      </c>
      <c r="L34" s="4">
        <v>0</v>
      </c>
      <c r="M34" s="4" t="s">
        <v>69</v>
      </c>
      <c r="N34" s="4">
        <v>0</v>
      </c>
    </row>
    <row r="35" spans="1:14" ht="14.25" customHeight="1" x14ac:dyDescent="0.2">
      <c r="A35" s="4" t="s">
        <v>79</v>
      </c>
      <c r="B35" s="4">
        <v>0</v>
      </c>
      <c r="C35" s="4">
        <v>23</v>
      </c>
      <c r="D35" s="4">
        <v>1.6</v>
      </c>
      <c r="E35" s="4">
        <v>54</v>
      </c>
      <c r="F35" s="7">
        <f t="shared" si="1"/>
        <v>21.093749999999996</v>
      </c>
      <c r="G35" s="4">
        <v>110</v>
      </c>
      <c r="H35" s="4">
        <v>70</v>
      </c>
      <c r="I35" s="4">
        <v>0</v>
      </c>
      <c r="J35" s="4">
        <v>0</v>
      </c>
      <c r="K35" s="4" t="s">
        <v>63</v>
      </c>
      <c r="L35" s="4">
        <v>0</v>
      </c>
      <c r="M35" s="4" t="s">
        <v>69</v>
      </c>
      <c r="N35" s="4">
        <v>0</v>
      </c>
    </row>
    <row r="36" spans="1:14" ht="14.25" customHeight="1" x14ac:dyDescent="0.2">
      <c r="A36" s="4" t="s">
        <v>80</v>
      </c>
      <c r="B36" s="4">
        <v>0</v>
      </c>
      <c r="C36" s="4">
        <v>26</v>
      </c>
      <c r="D36" s="4">
        <v>1.59</v>
      </c>
      <c r="E36" s="4">
        <v>58</v>
      </c>
      <c r="F36" s="7">
        <f t="shared" si="1"/>
        <v>22.942130453700404</v>
      </c>
      <c r="G36" s="4">
        <v>120</v>
      </c>
      <c r="H36" s="4">
        <v>80</v>
      </c>
      <c r="I36" s="4">
        <v>0</v>
      </c>
      <c r="J36" s="4">
        <v>0</v>
      </c>
      <c r="K36" s="4" t="s">
        <v>63</v>
      </c>
      <c r="L36" s="4">
        <v>0</v>
      </c>
      <c r="M36" s="4" t="s">
        <v>310</v>
      </c>
      <c r="N36" s="4">
        <v>2</v>
      </c>
    </row>
    <row r="37" spans="1:14" ht="14.25" customHeight="1" x14ac:dyDescent="0.2">
      <c r="A37" s="4" t="s">
        <v>83</v>
      </c>
      <c r="B37" s="4">
        <v>0</v>
      </c>
      <c r="C37" s="4">
        <v>25</v>
      </c>
      <c r="D37" s="4">
        <v>1.65</v>
      </c>
      <c r="E37" s="4">
        <v>62</v>
      </c>
      <c r="F37" s="7">
        <f t="shared" si="1"/>
        <v>22.77318640955005</v>
      </c>
      <c r="G37" s="4">
        <v>110</v>
      </c>
      <c r="H37" s="4">
        <v>70</v>
      </c>
      <c r="I37" s="4">
        <v>0</v>
      </c>
      <c r="J37" s="4">
        <v>0</v>
      </c>
      <c r="K37" s="4" t="s">
        <v>63</v>
      </c>
      <c r="L37" s="4">
        <v>0</v>
      </c>
      <c r="M37" s="4" t="s">
        <v>69</v>
      </c>
      <c r="N37" s="4">
        <v>0</v>
      </c>
    </row>
    <row r="38" spans="1:14" ht="14.25" customHeight="1" x14ac:dyDescent="0.2">
      <c r="A38" s="4" t="s">
        <v>84</v>
      </c>
      <c r="B38" s="4">
        <v>0</v>
      </c>
      <c r="C38" s="4">
        <v>29</v>
      </c>
      <c r="D38" s="4">
        <v>1.59</v>
      </c>
      <c r="E38" s="4">
        <v>53</v>
      </c>
      <c r="F38" s="7">
        <f t="shared" si="1"/>
        <v>20.964360587002094</v>
      </c>
      <c r="G38" s="4">
        <v>100</v>
      </c>
      <c r="H38" s="4">
        <v>60</v>
      </c>
      <c r="I38" s="4">
        <v>0</v>
      </c>
      <c r="J38" s="4">
        <v>0</v>
      </c>
      <c r="K38" s="4" t="s">
        <v>63</v>
      </c>
      <c r="L38" s="4">
        <v>0</v>
      </c>
      <c r="M38" s="4" t="s">
        <v>310</v>
      </c>
      <c r="N38" s="4">
        <v>2</v>
      </c>
    </row>
    <row r="39" spans="1:14" ht="14.25" customHeight="1" x14ac:dyDescent="0.2">
      <c r="A39" s="4" t="s">
        <v>86</v>
      </c>
      <c r="B39" s="4">
        <v>1</v>
      </c>
      <c r="C39" s="4">
        <v>22</v>
      </c>
      <c r="D39" s="4">
        <v>1.71</v>
      </c>
      <c r="E39" s="4">
        <v>64</v>
      </c>
      <c r="F39" s="7">
        <f t="shared" si="1"/>
        <v>21.887076365377382</v>
      </c>
      <c r="G39" s="4">
        <v>120</v>
      </c>
      <c r="H39" s="4">
        <v>80</v>
      </c>
      <c r="I39" s="4">
        <v>0</v>
      </c>
      <c r="J39" s="4">
        <v>0</v>
      </c>
      <c r="K39" s="4">
        <v>0</v>
      </c>
      <c r="L39" s="4">
        <v>0</v>
      </c>
      <c r="M39" s="4" t="s">
        <v>148</v>
      </c>
      <c r="N39" s="4">
        <v>3</v>
      </c>
    </row>
    <row r="40" spans="1:14" ht="14.25" customHeight="1" x14ac:dyDescent="0.2">
      <c r="A40" s="4" t="s">
        <v>87</v>
      </c>
      <c r="B40" s="4">
        <v>1</v>
      </c>
      <c r="C40" s="4">
        <v>27</v>
      </c>
      <c r="D40" s="4">
        <v>1.74</v>
      </c>
      <c r="E40" s="4">
        <v>82</v>
      </c>
      <c r="F40" s="7">
        <f t="shared" si="1"/>
        <v>27.08415906989034</v>
      </c>
      <c r="G40" s="4">
        <v>120</v>
      </c>
      <c r="H40" s="4">
        <v>80</v>
      </c>
      <c r="I40" s="4">
        <v>0</v>
      </c>
      <c r="J40" s="4">
        <v>0</v>
      </c>
      <c r="K40" s="4">
        <v>0</v>
      </c>
      <c r="L40" s="4">
        <v>0</v>
      </c>
      <c r="M40" s="4" t="s">
        <v>148</v>
      </c>
      <c r="N40" s="4">
        <v>3</v>
      </c>
    </row>
    <row r="41" spans="1:14" ht="14.25" customHeight="1" x14ac:dyDescent="0.2">
      <c r="A41" s="4" t="s">
        <v>88</v>
      </c>
      <c r="B41" s="4">
        <v>1</v>
      </c>
      <c r="C41" s="4">
        <v>25</v>
      </c>
      <c r="D41" s="4">
        <v>1.76</v>
      </c>
      <c r="E41" s="4">
        <v>70</v>
      </c>
      <c r="F41" s="7">
        <f t="shared" si="1"/>
        <v>22.598140495867771</v>
      </c>
      <c r="G41" s="4">
        <v>120</v>
      </c>
      <c r="H41" s="4">
        <v>80</v>
      </c>
      <c r="I41" s="4">
        <v>0</v>
      </c>
      <c r="J41" s="4">
        <v>0</v>
      </c>
      <c r="K41" s="4">
        <v>0</v>
      </c>
      <c r="L41" s="4">
        <v>0</v>
      </c>
      <c r="M41" s="4" t="s">
        <v>148</v>
      </c>
      <c r="N41" s="4">
        <v>3</v>
      </c>
    </row>
    <row r="42" spans="1:14" ht="14.25" customHeight="1" x14ac:dyDescent="0.2">
      <c r="A42" s="4" t="s">
        <v>89</v>
      </c>
      <c r="B42" s="4">
        <v>1</v>
      </c>
      <c r="C42" s="4">
        <v>26</v>
      </c>
      <c r="D42" s="4">
        <v>1.85</v>
      </c>
      <c r="E42" s="4">
        <v>96</v>
      </c>
      <c r="F42" s="7">
        <f t="shared" si="1"/>
        <v>28.049671292914532</v>
      </c>
      <c r="G42" s="4">
        <v>110</v>
      </c>
      <c r="H42" s="4">
        <v>80</v>
      </c>
      <c r="I42" s="4">
        <v>0</v>
      </c>
      <c r="J42" s="4">
        <v>0</v>
      </c>
      <c r="K42" s="4">
        <v>0</v>
      </c>
      <c r="L42" s="4">
        <v>0</v>
      </c>
      <c r="M42" s="4" t="s">
        <v>148</v>
      </c>
      <c r="N42" s="4">
        <v>3</v>
      </c>
    </row>
    <row r="43" spans="1:14" ht="14.25" customHeight="1" x14ac:dyDescent="0.2">
      <c r="A43" s="4" t="s">
        <v>90</v>
      </c>
      <c r="B43" s="4">
        <v>0</v>
      </c>
      <c r="C43" s="4">
        <v>24</v>
      </c>
      <c r="D43" s="4">
        <v>1.58</v>
      </c>
      <c r="E43" s="4">
        <v>55</v>
      </c>
      <c r="F43" s="7">
        <f t="shared" si="1"/>
        <v>22.031725684986377</v>
      </c>
      <c r="G43" s="4">
        <v>110</v>
      </c>
      <c r="H43" s="4">
        <v>70</v>
      </c>
      <c r="I43" s="4">
        <v>0</v>
      </c>
      <c r="J43" s="4">
        <v>0</v>
      </c>
      <c r="K43" s="4">
        <v>0</v>
      </c>
      <c r="L43" s="4">
        <v>0</v>
      </c>
      <c r="M43" s="4" t="s">
        <v>69</v>
      </c>
      <c r="N43" s="4">
        <v>0</v>
      </c>
    </row>
    <row r="44" spans="1:14" ht="14.25" customHeight="1" x14ac:dyDescent="0.2">
      <c r="A44" s="4" t="s">
        <v>91</v>
      </c>
      <c r="B44" s="4">
        <v>0</v>
      </c>
      <c r="C44" s="4">
        <v>31</v>
      </c>
      <c r="D44" s="4">
        <v>1.5</v>
      </c>
      <c r="E44" s="4">
        <v>65</v>
      </c>
      <c r="F44" s="7">
        <f t="shared" si="1"/>
        <v>28.888888888888889</v>
      </c>
      <c r="G44" s="4">
        <v>110</v>
      </c>
      <c r="H44" s="4">
        <v>80</v>
      </c>
      <c r="I44" s="4">
        <v>0</v>
      </c>
      <c r="J44" s="4">
        <v>0</v>
      </c>
      <c r="K44" s="4">
        <v>0</v>
      </c>
      <c r="L44" s="4">
        <v>0</v>
      </c>
      <c r="M44" s="4" t="s">
        <v>148</v>
      </c>
      <c r="N44" s="4">
        <v>3</v>
      </c>
    </row>
    <row r="45" spans="1:14" ht="14.25" customHeight="1" x14ac:dyDescent="0.2">
      <c r="A45" s="4" t="s">
        <v>92</v>
      </c>
      <c r="B45" s="4">
        <v>0</v>
      </c>
      <c r="C45" s="4">
        <v>26</v>
      </c>
      <c r="D45" s="4">
        <v>1.6</v>
      </c>
      <c r="E45" s="4">
        <v>61</v>
      </c>
      <c r="F45" s="7">
        <f t="shared" si="1"/>
        <v>23.828124999999996</v>
      </c>
      <c r="G45" s="4">
        <v>110</v>
      </c>
      <c r="H45" s="4">
        <v>80</v>
      </c>
      <c r="I45" s="4">
        <v>0</v>
      </c>
      <c r="J45" s="4">
        <v>0</v>
      </c>
      <c r="K45" s="4">
        <v>0</v>
      </c>
      <c r="L45" s="4">
        <v>0</v>
      </c>
      <c r="M45" s="4" t="s">
        <v>148</v>
      </c>
      <c r="N45" s="4">
        <v>3</v>
      </c>
    </row>
    <row r="46" spans="1:14" ht="14.25" customHeight="1" x14ac:dyDescent="0.2">
      <c r="A46" s="4" t="s">
        <v>93</v>
      </c>
      <c r="B46" s="4">
        <v>0</v>
      </c>
      <c r="C46" s="4">
        <v>34</v>
      </c>
      <c r="D46" s="4">
        <v>1.63</v>
      </c>
      <c r="E46" s="4">
        <v>57</v>
      </c>
      <c r="F46" s="7">
        <f t="shared" si="1"/>
        <v>21.453573713726524</v>
      </c>
      <c r="G46" s="4">
        <v>90</v>
      </c>
      <c r="H46" s="4">
        <v>60</v>
      </c>
      <c r="I46" s="4">
        <v>0</v>
      </c>
      <c r="J46" s="4">
        <v>0</v>
      </c>
      <c r="K46" s="4">
        <v>0</v>
      </c>
      <c r="L46" s="4">
        <v>0</v>
      </c>
      <c r="M46" s="4" t="s">
        <v>310</v>
      </c>
      <c r="N46" s="4">
        <v>2</v>
      </c>
    </row>
    <row r="47" spans="1:14" ht="14.25" customHeight="1" x14ac:dyDescent="0.2">
      <c r="A47" s="4" t="s">
        <v>94</v>
      </c>
      <c r="B47" s="4">
        <v>0</v>
      </c>
      <c r="C47" s="4">
        <v>44</v>
      </c>
      <c r="D47" s="4">
        <v>1.68</v>
      </c>
      <c r="E47" s="4">
        <v>88</v>
      </c>
      <c r="F47" s="7">
        <f t="shared" si="1"/>
        <v>31.17913832199547</v>
      </c>
      <c r="G47" s="4">
        <v>120</v>
      </c>
      <c r="H47" s="4">
        <v>80</v>
      </c>
      <c r="I47" s="4">
        <v>0</v>
      </c>
      <c r="J47" s="4">
        <v>0</v>
      </c>
      <c r="K47" s="4" t="s">
        <v>63</v>
      </c>
      <c r="L47" s="4">
        <v>0</v>
      </c>
      <c r="M47" s="4" t="s">
        <v>69</v>
      </c>
      <c r="N47" s="4">
        <v>0</v>
      </c>
    </row>
    <row r="48" spans="1:14" ht="14.25" customHeight="1" x14ac:dyDescent="0.2">
      <c r="A48" s="4" t="s">
        <v>95</v>
      </c>
      <c r="B48" s="4">
        <v>0</v>
      </c>
      <c r="C48" s="4">
        <v>60</v>
      </c>
      <c r="D48" s="4">
        <v>1.66</v>
      </c>
      <c r="E48" s="4">
        <v>66</v>
      </c>
      <c r="F48" s="7">
        <f t="shared" si="1"/>
        <v>23.951226593119468</v>
      </c>
      <c r="G48" s="4">
        <v>110</v>
      </c>
      <c r="H48" s="4">
        <v>70</v>
      </c>
      <c r="I48" s="4">
        <v>0</v>
      </c>
      <c r="J48" s="4">
        <v>0</v>
      </c>
      <c r="K48" s="4" t="s">
        <v>96</v>
      </c>
      <c r="L48" s="4">
        <v>0</v>
      </c>
      <c r="M48" s="4" t="s">
        <v>310</v>
      </c>
      <c r="N48" s="4">
        <v>2</v>
      </c>
    </row>
    <row r="49" spans="1:14" ht="14.25" customHeight="1" x14ac:dyDescent="0.2">
      <c r="A49" s="4" t="s">
        <v>98</v>
      </c>
      <c r="B49" s="4">
        <v>0</v>
      </c>
      <c r="C49" s="4">
        <v>36</v>
      </c>
      <c r="D49" s="4">
        <v>1.59</v>
      </c>
      <c r="E49" s="4">
        <v>62</v>
      </c>
      <c r="F49" s="7">
        <f t="shared" si="1"/>
        <v>24.524346347059055</v>
      </c>
      <c r="G49" s="4">
        <v>110</v>
      </c>
      <c r="H49" s="4">
        <v>60</v>
      </c>
      <c r="I49" s="4">
        <v>0</v>
      </c>
      <c r="J49" s="4">
        <v>0</v>
      </c>
      <c r="K49" s="4" t="s">
        <v>63</v>
      </c>
      <c r="L49" s="4">
        <v>0</v>
      </c>
      <c r="M49" s="4" t="s">
        <v>310</v>
      </c>
      <c r="N49" s="4">
        <v>2</v>
      </c>
    </row>
    <row r="50" spans="1:14" ht="14.25" customHeight="1" x14ac:dyDescent="0.2">
      <c r="A50" s="4" t="s">
        <v>100</v>
      </c>
      <c r="B50" s="4">
        <v>0</v>
      </c>
      <c r="C50" s="4">
        <v>36</v>
      </c>
      <c r="D50" s="4">
        <v>1.59</v>
      </c>
      <c r="E50" s="4">
        <v>59</v>
      </c>
      <c r="F50" s="7">
        <f t="shared" si="1"/>
        <v>23.337684427040067</v>
      </c>
      <c r="G50" s="4">
        <v>110</v>
      </c>
      <c r="H50" s="4">
        <v>80</v>
      </c>
      <c r="I50" s="4">
        <v>0</v>
      </c>
      <c r="J50" s="4">
        <v>0</v>
      </c>
      <c r="K50" s="4" t="s">
        <v>63</v>
      </c>
      <c r="L50" s="4">
        <v>0</v>
      </c>
      <c r="M50" s="4" t="s">
        <v>310</v>
      </c>
      <c r="N50" s="4">
        <v>2</v>
      </c>
    </row>
    <row r="51" spans="1:14" ht="14.25" customHeight="1" x14ac:dyDescent="0.2">
      <c r="A51" s="4" t="s">
        <v>101</v>
      </c>
      <c r="B51" s="4">
        <v>0</v>
      </c>
      <c r="C51" s="4">
        <v>36</v>
      </c>
      <c r="D51" s="4">
        <v>1.62</v>
      </c>
      <c r="E51" s="4">
        <v>65</v>
      </c>
      <c r="F51" s="7">
        <f t="shared" si="1"/>
        <v>24.767565919829291</v>
      </c>
      <c r="G51" s="4">
        <v>120</v>
      </c>
      <c r="H51" s="4">
        <v>80</v>
      </c>
      <c r="I51" s="4">
        <v>0</v>
      </c>
      <c r="J51" s="4">
        <v>0</v>
      </c>
      <c r="K51" s="4">
        <v>0</v>
      </c>
      <c r="L51" s="4">
        <v>0</v>
      </c>
      <c r="M51" s="4" t="s">
        <v>69</v>
      </c>
      <c r="N51" s="4">
        <v>0</v>
      </c>
    </row>
    <row r="52" spans="1:14" ht="14.25" customHeight="1" x14ac:dyDescent="0.2">
      <c r="A52" s="4" t="s">
        <v>102</v>
      </c>
      <c r="B52" s="4">
        <v>1</v>
      </c>
      <c r="C52" s="4">
        <v>28</v>
      </c>
      <c r="D52" s="4">
        <v>1.93</v>
      </c>
      <c r="E52" s="4">
        <v>91</v>
      </c>
      <c r="F52" s="7">
        <f t="shared" si="1"/>
        <v>24.43018604526296</v>
      </c>
      <c r="G52" s="4">
        <v>110</v>
      </c>
      <c r="H52" s="4">
        <v>60</v>
      </c>
      <c r="I52" s="4">
        <v>0</v>
      </c>
      <c r="J52" s="4">
        <v>0</v>
      </c>
      <c r="K52" s="4">
        <v>0</v>
      </c>
      <c r="L52" s="4">
        <v>0</v>
      </c>
      <c r="M52" s="4" t="s">
        <v>310</v>
      </c>
      <c r="N52" s="4">
        <v>2</v>
      </c>
    </row>
    <row r="53" spans="1:14" ht="14.25" customHeight="1" x14ac:dyDescent="0.2">
      <c r="A53" s="4" t="s">
        <v>103</v>
      </c>
      <c r="B53" s="4">
        <v>0</v>
      </c>
      <c r="C53" s="4">
        <v>24</v>
      </c>
      <c r="D53" s="4">
        <v>1.56</v>
      </c>
      <c r="E53" s="4">
        <v>48</v>
      </c>
      <c r="F53" s="7">
        <f t="shared" si="1"/>
        <v>19.723865877712029</v>
      </c>
      <c r="G53" s="4">
        <v>110</v>
      </c>
      <c r="H53" s="4">
        <v>70</v>
      </c>
      <c r="I53" s="4">
        <v>0</v>
      </c>
      <c r="J53" s="4">
        <v>0</v>
      </c>
      <c r="K53" s="4">
        <v>0</v>
      </c>
      <c r="L53" s="4">
        <v>0</v>
      </c>
      <c r="M53" s="4" t="s">
        <v>310</v>
      </c>
      <c r="N53" s="4">
        <v>2</v>
      </c>
    </row>
    <row r="54" spans="1:14" ht="14.25" customHeight="1" x14ac:dyDescent="0.2">
      <c r="A54" s="4" t="s">
        <v>104</v>
      </c>
      <c r="B54" s="4">
        <v>0</v>
      </c>
      <c r="C54" s="4">
        <v>26</v>
      </c>
      <c r="D54" s="4">
        <v>1.71</v>
      </c>
      <c r="E54" s="4">
        <v>76</v>
      </c>
      <c r="F54" s="7">
        <f t="shared" si="1"/>
        <v>25.990903183885642</v>
      </c>
      <c r="G54" s="4">
        <v>120</v>
      </c>
      <c r="H54" s="4">
        <v>80</v>
      </c>
      <c r="I54" s="4">
        <v>0</v>
      </c>
      <c r="J54" s="4">
        <v>0</v>
      </c>
      <c r="K54" s="4" t="s">
        <v>71</v>
      </c>
      <c r="L54" s="4">
        <v>0</v>
      </c>
      <c r="M54" s="4" t="s">
        <v>69</v>
      </c>
      <c r="N54" s="4">
        <v>0</v>
      </c>
    </row>
    <row r="55" spans="1:14" ht="14.25" customHeight="1" x14ac:dyDescent="0.2">
      <c r="A55" s="4" t="s">
        <v>105</v>
      </c>
      <c r="B55" s="4">
        <v>0</v>
      </c>
      <c r="C55" s="4">
        <v>27</v>
      </c>
      <c r="D55" s="4">
        <v>1.56</v>
      </c>
      <c r="E55" s="4">
        <v>55</v>
      </c>
      <c r="F55" s="7">
        <f t="shared" si="1"/>
        <v>22.600262984878366</v>
      </c>
      <c r="G55" s="4">
        <v>110</v>
      </c>
      <c r="H55" s="4">
        <v>80</v>
      </c>
      <c r="I55" s="4">
        <v>0</v>
      </c>
      <c r="J55" s="4">
        <v>0</v>
      </c>
      <c r="K55" s="4">
        <v>0</v>
      </c>
      <c r="L55" s="4">
        <v>0</v>
      </c>
      <c r="M55" s="4" t="s">
        <v>69</v>
      </c>
      <c r="N55" s="4">
        <v>0</v>
      </c>
    </row>
    <row r="56" spans="1:14" ht="14.25" customHeight="1" x14ac:dyDescent="0.2">
      <c r="A56" s="4" t="s">
        <v>106</v>
      </c>
      <c r="B56" s="4">
        <v>0</v>
      </c>
      <c r="C56" s="4">
        <v>24</v>
      </c>
      <c r="D56" s="4">
        <v>1.7</v>
      </c>
      <c r="E56" s="4">
        <v>54</v>
      </c>
      <c r="F56" s="7">
        <f t="shared" si="1"/>
        <v>18.68512110726644</v>
      </c>
      <c r="G56" s="4">
        <v>120</v>
      </c>
      <c r="H56" s="4">
        <v>80</v>
      </c>
      <c r="I56" s="4">
        <v>0</v>
      </c>
      <c r="J56" s="4">
        <v>0</v>
      </c>
      <c r="K56" s="4">
        <v>0</v>
      </c>
      <c r="L56" s="4">
        <v>0</v>
      </c>
      <c r="M56" s="4" t="s">
        <v>69</v>
      </c>
      <c r="N56" s="4">
        <v>0</v>
      </c>
    </row>
    <row r="57" spans="1:14" ht="14.25" customHeight="1" x14ac:dyDescent="0.2">
      <c r="A57" s="4" t="s">
        <v>107</v>
      </c>
      <c r="B57" s="4">
        <v>0</v>
      </c>
      <c r="C57" s="4">
        <v>28</v>
      </c>
      <c r="D57" s="4">
        <v>1.65</v>
      </c>
      <c r="E57" s="4">
        <v>50</v>
      </c>
      <c r="F57" s="7">
        <f t="shared" si="1"/>
        <v>18.365472910927458</v>
      </c>
      <c r="G57" s="4">
        <v>110</v>
      </c>
      <c r="H57" s="4">
        <v>70</v>
      </c>
      <c r="I57" s="4">
        <v>0</v>
      </c>
      <c r="J57" s="4">
        <v>0</v>
      </c>
      <c r="K57" s="4" t="s">
        <v>63</v>
      </c>
      <c r="L57" s="4">
        <v>0</v>
      </c>
      <c r="M57" s="4" t="s">
        <v>69</v>
      </c>
      <c r="N57" s="4">
        <v>0</v>
      </c>
    </row>
    <row r="58" spans="1:14" ht="14.25" customHeight="1" x14ac:dyDescent="0.2">
      <c r="A58" s="4" t="s">
        <v>108</v>
      </c>
      <c r="B58" s="4">
        <v>0</v>
      </c>
      <c r="C58" s="4">
        <v>24</v>
      </c>
      <c r="D58" s="4">
        <v>1.7</v>
      </c>
      <c r="E58" s="4">
        <v>74.599999999999994</v>
      </c>
      <c r="F58" s="7">
        <f t="shared" si="1"/>
        <v>25.813148788927336</v>
      </c>
      <c r="G58" s="4">
        <v>120</v>
      </c>
      <c r="H58" s="4">
        <v>80</v>
      </c>
      <c r="I58" s="4">
        <v>0</v>
      </c>
      <c r="J58" s="4">
        <v>0</v>
      </c>
      <c r="K58" s="4" t="s">
        <v>63</v>
      </c>
      <c r="L58" s="4">
        <v>0</v>
      </c>
      <c r="M58" s="4" t="s">
        <v>148</v>
      </c>
      <c r="N58" s="4">
        <v>3</v>
      </c>
    </row>
    <row r="59" spans="1:14" ht="14.25" customHeight="1" x14ac:dyDescent="0.2">
      <c r="A59" s="4" t="s">
        <v>109</v>
      </c>
      <c r="B59" s="4">
        <v>0</v>
      </c>
      <c r="C59" s="4">
        <v>56</v>
      </c>
      <c r="D59" s="4">
        <v>1.58</v>
      </c>
      <c r="E59" s="4">
        <v>65</v>
      </c>
      <c r="F59" s="7">
        <f t="shared" si="1"/>
        <v>26.037493991347535</v>
      </c>
      <c r="G59" s="4">
        <v>110</v>
      </c>
      <c r="H59" s="4">
        <v>70</v>
      </c>
      <c r="I59" s="4">
        <v>0</v>
      </c>
      <c r="J59" s="4">
        <v>0</v>
      </c>
      <c r="K59" s="4">
        <v>0</v>
      </c>
      <c r="L59" s="4">
        <v>0</v>
      </c>
      <c r="M59" s="4" t="s">
        <v>310</v>
      </c>
      <c r="N59" s="4">
        <v>2</v>
      </c>
    </row>
    <row r="60" spans="1:14" ht="14.25" customHeight="1" x14ac:dyDescent="0.2">
      <c r="A60" s="4" t="s">
        <v>110</v>
      </c>
      <c r="B60" s="4">
        <v>0</v>
      </c>
      <c r="C60" s="4">
        <v>26</v>
      </c>
      <c r="D60" s="4">
        <v>1.73</v>
      </c>
      <c r="E60" s="4">
        <v>58</v>
      </c>
      <c r="F60" s="7">
        <f t="shared" si="1"/>
        <v>19.379197433926961</v>
      </c>
      <c r="G60" s="4">
        <v>100</v>
      </c>
      <c r="H60" s="4">
        <v>60</v>
      </c>
      <c r="I60" s="4">
        <v>0</v>
      </c>
      <c r="J60" s="4">
        <v>0</v>
      </c>
      <c r="K60" s="4">
        <v>0</v>
      </c>
      <c r="L60" s="4">
        <v>0</v>
      </c>
      <c r="M60" s="4" t="s">
        <v>310</v>
      </c>
      <c r="N60" s="4">
        <v>2</v>
      </c>
    </row>
    <row r="61" spans="1:14" ht="14.25" customHeight="1" x14ac:dyDescent="0.2">
      <c r="A61" s="4" t="s">
        <v>112</v>
      </c>
      <c r="B61" s="4">
        <v>0</v>
      </c>
      <c r="C61" s="4">
        <v>24</v>
      </c>
      <c r="D61" s="4">
        <v>1.65</v>
      </c>
      <c r="E61" s="4">
        <v>53</v>
      </c>
      <c r="F61" s="7">
        <f t="shared" si="1"/>
        <v>19.467401285583104</v>
      </c>
      <c r="G61" s="4">
        <v>120</v>
      </c>
      <c r="H61" s="4">
        <v>60</v>
      </c>
      <c r="I61" s="4">
        <v>0</v>
      </c>
      <c r="J61" s="4">
        <v>0</v>
      </c>
      <c r="K61" s="4">
        <v>0</v>
      </c>
      <c r="L61" s="4">
        <v>0</v>
      </c>
      <c r="M61" s="4" t="s">
        <v>148</v>
      </c>
      <c r="N61" s="4">
        <v>3</v>
      </c>
    </row>
    <row r="62" spans="1:14" ht="14.25" customHeight="1" x14ac:dyDescent="0.2">
      <c r="A62" s="4" t="s">
        <v>113</v>
      </c>
      <c r="B62" s="4">
        <v>0</v>
      </c>
      <c r="C62" s="4">
        <v>26</v>
      </c>
      <c r="D62" s="4">
        <v>1.57</v>
      </c>
      <c r="E62" s="4">
        <v>56</v>
      </c>
      <c r="F62" s="7">
        <f t="shared" si="1"/>
        <v>22.718974400584202</v>
      </c>
      <c r="G62" s="4">
        <v>120</v>
      </c>
      <c r="H62" s="4">
        <v>80</v>
      </c>
      <c r="I62" s="4">
        <v>0</v>
      </c>
      <c r="J62" s="4">
        <v>0</v>
      </c>
      <c r="K62" s="4">
        <v>0</v>
      </c>
      <c r="L62" s="4">
        <v>0</v>
      </c>
      <c r="M62" s="4" t="s">
        <v>310</v>
      </c>
      <c r="N62" s="4">
        <v>2</v>
      </c>
    </row>
    <row r="63" spans="1:14" ht="14.25" customHeight="1" x14ac:dyDescent="0.2">
      <c r="A63" s="4" t="s">
        <v>114</v>
      </c>
      <c r="B63" s="4">
        <v>1</v>
      </c>
      <c r="C63" s="4">
        <v>31</v>
      </c>
      <c r="D63" s="4">
        <v>1.74</v>
      </c>
      <c r="E63" s="4">
        <v>74</v>
      </c>
      <c r="F63" s="7">
        <f t="shared" si="1"/>
        <v>24.441802087462015</v>
      </c>
      <c r="G63" s="4">
        <v>120</v>
      </c>
      <c r="H63" s="4">
        <v>80</v>
      </c>
      <c r="I63" s="4">
        <v>0</v>
      </c>
      <c r="J63" s="4">
        <v>0</v>
      </c>
      <c r="K63" s="4">
        <v>0</v>
      </c>
      <c r="L63" s="4">
        <v>0</v>
      </c>
      <c r="M63" s="4" t="s">
        <v>69</v>
      </c>
      <c r="N63" s="4">
        <v>0</v>
      </c>
    </row>
    <row r="64" spans="1:14" ht="14.25" customHeight="1" x14ac:dyDescent="0.2">
      <c r="A64" s="4" t="s">
        <v>115</v>
      </c>
      <c r="B64" s="4">
        <v>0</v>
      </c>
      <c r="C64" s="4">
        <v>33</v>
      </c>
      <c r="D64" s="4">
        <v>1.57</v>
      </c>
      <c r="E64" s="4">
        <v>63</v>
      </c>
      <c r="F64" s="7">
        <f t="shared" si="1"/>
        <v>25.558846200657225</v>
      </c>
      <c r="G64" s="4">
        <v>120</v>
      </c>
      <c r="H64" s="4">
        <v>80</v>
      </c>
      <c r="I64" s="4">
        <v>0</v>
      </c>
      <c r="J64" s="4">
        <v>0</v>
      </c>
      <c r="K64" s="4">
        <v>0</v>
      </c>
      <c r="L64" s="4">
        <v>0</v>
      </c>
      <c r="M64" s="4" t="s">
        <v>310</v>
      </c>
      <c r="N64" s="4">
        <v>2</v>
      </c>
    </row>
    <row r="65" spans="1:15" ht="14.25" customHeight="1" x14ac:dyDescent="0.2">
      <c r="A65" s="4" t="s">
        <v>116</v>
      </c>
      <c r="B65" s="4">
        <v>0</v>
      </c>
      <c r="C65" s="4">
        <v>49</v>
      </c>
      <c r="D65" s="4">
        <v>1.64</v>
      </c>
      <c r="E65" s="4">
        <v>80.7</v>
      </c>
      <c r="F65" s="7">
        <f t="shared" si="1"/>
        <v>30.00446162998216</v>
      </c>
      <c r="G65" s="4">
        <v>110</v>
      </c>
      <c r="H65" s="4">
        <v>80</v>
      </c>
      <c r="I65" s="4">
        <v>0</v>
      </c>
      <c r="J65" s="4">
        <v>0</v>
      </c>
      <c r="K65" s="4">
        <v>0</v>
      </c>
      <c r="L65" s="4">
        <v>0</v>
      </c>
      <c r="M65" s="4" t="s">
        <v>69</v>
      </c>
      <c r="N65" s="4">
        <v>0</v>
      </c>
    </row>
    <row r="66" spans="1:15" ht="14.25" customHeight="1" x14ac:dyDescent="0.2">
      <c r="A66" s="4" t="s">
        <v>117</v>
      </c>
      <c r="B66" s="4">
        <v>1</v>
      </c>
      <c r="C66" s="4">
        <v>23</v>
      </c>
      <c r="D66" s="4">
        <v>1.78</v>
      </c>
      <c r="E66" s="4">
        <v>73</v>
      </c>
      <c r="F66" s="7">
        <f t="shared" si="1"/>
        <v>23.040020199469762</v>
      </c>
      <c r="G66" s="4">
        <v>110</v>
      </c>
      <c r="H66" s="4">
        <v>70</v>
      </c>
      <c r="I66" s="4">
        <v>0</v>
      </c>
      <c r="J66" s="4">
        <v>0</v>
      </c>
      <c r="K66" s="4">
        <v>0</v>
      </c>
      <c r="L66" s="4">
        <v>0</v>
      </c>
      <c r="M66" s="4" t="s">
        <v>148</v>
      </c>
      <c r="N66" s="4">
        <v>3</v>
      </c>
    </row>
    <row r="67" spans="1:15" ht="14.25" customHeight="1" x14ac:dyDescent="0.2">
      <c r="A67" s="4" t="s">
        <v>118</v>
      </c>
      <c r="B67" s="4">
        <v>0</v>
      </c>
      <c r="C67" s="4">
        <v>23</v>
      </c>
      <c r="D67" s="4">
        <v>1.62</v>
      </c>
      <c r="E67" s="4">
        <v>50</v>
      </c>
      <c r="F67" s="7">
        <f t="shared" si="1"/>
        <v>19.051973784484069</v>
      </c>
      <c r="G67" s="4">
        <v>120</v>
      </c>
      <c r="H67" s="4">
        <v>80</v>
      </c>
      <c r="I67" s="4">
        <v>0</v>
      </c>
      <c r="J67" s="4">
        <v>0</v>
      </c>
      <c r="K67" s="4" t="s">
        <v>63</v>
      </c>
      <c r="L67" s="4">
        <v>0</v>
      </c>
      <c r="M67" s="4" t="s">
        <v>69</v>
      </c>
      <c r="N67" s="4">
        <v>0</v>
      </c>
    </row>
    <row r="68" spans="1:15" ht="14.25" customHeight="1" x14ac:dyDescent="0.2">
      <c r="A68" s="4" t="s">
        <v>119</v>
      </c>
      <c r="B68" s="4">
        <v>0</v>
      </c>
      <c r="C68" s="4">
        <v>38</v>
      </c>
      <c r="D68" s="4">
        <v>1.65</v>
      </c>
      <c r="E68" s="4">
        <v>73</v>
      </c>
      <c r="F68" s="7">
        <f t="shared" si="1"/>
        <v>26.813590449954088</v>
      </c>
      <c r="G68" s="4">
        <v>130</v>
      </c>
      <c r="H68" s="4">
        <v>90</v>
      </c>
      <c r="I68" s="4">
        <v>0</v>
      </c>
      <c r="J68" s="4">
        <v>0</v>
      </c>
      <c r="K68" s="4" t="s">
        <v>59</v>
      </c>
      <c r="L68" s="4">
        <v>0</v>
      </c>
      <c r="M68" s="4" t="s">
        <v>69</v>
      </c>
      <c r="N68" s="4">
        <v>0</v>
      </c>
    </row>
    <row r="69" spans="1:15" ht="14.25" customHeight="1" x14ac:dyDescent="0.2">
      <c r="A69" s="4" t="s">
        <v>120</v>
      </c>
      <c r="B69" s="4">
        <v>0</v>
      </c>
      <c r="C69" s="4">
        <v>24</v>
      </c>
      <c r="D69" s="4">
        <v>1.7</v>
      </c>
      <c r="E69" s="4">
        <v>75</v>
      </c>
      <c r="F69" s="7">
        <f t="shared" si="1"/>
        <v>25.95155709342561</v>
      </c>
      <c r="G69" s="4">
        <v>110</v>
      </c>
      <c r="H69" s="4">
        <v>70</v>
      </c>
      <c r="I69" s="4">
        <v>0</v>
      </c>
      <c r="J69" s="4">
        <v>0</v>
      </c>
      <c r="K69" s="4" t="s">
        <v>41</v>
      </c>
      <c r="L69" s="4">
        <v>0</v>
      </c>
      <c r="M69" s="4" t="s">
        <v>69</v>
      </c>
      <c r="N69" s="4">
        <v>0</v>
      </c>
    </row>
    <row r="70" spans="1:15" ht="14.25" customHeight="1" x14ac:dyDescent="0.2">
      <c r="A70" s="4" t="s">
        <v>121</v>
      </c>
      <c r="B70" s="4">
        <v>0</v>
      </c>
      <c r="C70" s="4">
        <v>22</v>
      </c>
      <c r="D70" s="4">
        <v>1.57</v>
      </c>
      <c r="E70" s="4">
        <v>57</v>
      </c>
      <c r="F70" s="7">
        <f t="shared" si="1"/>
        <v>23.124670372023203</v>
      </c>
      <c r="G70" s="4">
        <v>110</v>
      </c>
      <c r="H70" s="4">
        <v>70</v>
      </c>
      <c r="I70" s="4">
        <v>0</v>
      </c>
      <c r="J70" s="4">
        <v>0</v>
      </c>
      <c r="K70" s="4">
        <v>0</v>
      </c>
      <c r="L70" s="4">
        <v>0</v>
      </c>
      <c r="M70" s="4" t="s">
        <v>310</v>
      </c>
      <c r="N70" s="4">
        <v>2</v>
      </c>
    </row>
    <row r="71" spans="1:15" ht="14.25" customHeight="1" x14ac:dyDescent="0.2">
      <c r="A71" s="4" t="s">
        <v>122</v>
      </c>
      <c r="B71" s="4">
        <v>0</v>
      </c>
      <c r="C71" s="4">
        <v>27</v>
      </c>
      <c r="D71" s="4">
        <v>1.49</v>
      </c>
      <c r="E71" s="4">
        <v>50</v>
      </c>
      <c r="F71" s="7">
        <f t="shared" si="1"/>
        <v>22.521508040178372</v>
      </c>
      <c r="G71" s="4">
        <v>90</v>
      </c>
      <c r="H71" s="4">
        <v>60</v>
      </c>
      <c r="I71" s="4">
        <v>0</v>
      </c>
      <c r="J71" s="4">
        <v>0</v>
      </c>
      <c r="K71" s="4" t="s">
        <v>123</v>
      </c>
      <c r="L71" s="4">
        <v>0</v>
      </c>
      <c r="M71" s="4" t="s">
        <v>310</v>
      </c>
      <c r="N71" s="4">
        <v>2</v>
      </c>
    </row>
    <row r="72" spans="1:15" ht="14.25" customHeight="1" x14ac:dyDescent="0.2">
      <c r="A72" s="4" t="s">
        <v>124</v>
      </c>
      <c r="B72" s="4">
        <v>1</v>
      </c>
      <c r="C72" s="4">
        <v>32</v>
      </c>
      <c r="D72" s="4">
        <v>1.71</v>
      </c>
      <c r="E72" s="4">
        <v>85</v>
      </c>
      <c r="F72" s="7">
        <f t="shared" si="1"/>
        <v>29.068773297766839</v>
      </c>
      <c r="G72" s="4">
        <v>130</v>
      </c>
      <c r="H72" s="4">
        <v>90</v>
      </c>
      <c r="I72" s="4">
        <v>0</v>
      </c>
      <c r="J72" s="4">
        <v>0</v>
      </c>
      <c r="K72" s="4">
        <v>0</v>
      </c>
      <c r="L72" s="4">
        <v>0</v>
      </c>
      <c r="M72" s="4" t="s">
        <v>148</v>
      </c>
      <c r="N72" s="4">
        <v>3</v>
      </c>
    </row>
    <row r="73" spans="1:15" ht="14.25" customHeight="1" x14ac:dyDescent="0.2">
      <c r="A73" s="4" t="s">
        <v>125</v>
      </c>
      <c r="B73" s="4">
        <v>0</v>
      </c>
      <c r="C73" s="4">
        <v>39</v>
      </c>
      <c r="D73" s="4">
        <v>1.55</v>
      </c>
      <c r="E73" s="4">
        <v>55</v>
      </c>
      <c r="F73" s="7">
        <f t="shared" si="1"/>
        <v>22.892819979188342</v>
      </c>
      <c r="G73" s="4">
        <v>120</v>
      </c>
      <c r="H73" s="4">
        <v>90</v>
      </c>
      <c r="I73" s="4">
        <v>0</v>
      </c>
      <c r="J73" s="4">
        <v>0</v>
      </c>
      <c r="K73" s="4" t="s">
        <v>63</v>
      </c>
      <c r="L73" s="4">
        <v>0</v>
      </c>
      <c r="M73" s="4" t="s">
        <v>69</v>
      </c>
      <c r="N73" s="4">
        <v>0</v>
      </c>
    </row>
    <row r="74" spans="1:15" ht="14.25" customHeight="1" x14ac:dyDescent="0.2">
      <c r="A74" s="4" t="s">
        <v>126</v>
      </c>
      <c r="B74" s="4">
        <v>1</v>
      </c>
      <c r="C74" s="4">
        <v>36</v>
      </c>
      <c r="D74" s="4">
        <v>1.78</v>
      </c>
      <c r="E74" s="4">
        <v>82</v>
      </c>
      <c r="F74" s="7">
        <f t="shared" si="1"/>
        <v>25.880570635020831</v>
      </c>
      <c r="G74" s="4">
        <v>120</v>
      </c>
      <c r="H74" s="4">
        <v>80</v>
      </c>
      <c r="I74" s="4">
        <v>0</v>
      </c>
      <c r="J74" s="4">
        <v>0</v>
      </c>
      <c r="K74" s="4" t="s">
        <v>127</v>
      </c>
      <c r="L74" s="4">
        <v>0</v>
      </c>
      <c r="M74" s="4" t="s">
        <v>148</v>
      </c>
      <c r="N74" s="4">
        <v>3</v>
      </c>
    </row>
    <row r="75" spans="1:15" ht="14.25" customHeight="1" x14ac:dyDescent="0.2">
      <c r="A75" s="4" t="s">
        <v>128</v>
      </c>
      <c r="B75" s="4">
        <v>0</v>
      </c>
      <c r="C75" s="4">
        <v>38</v>
      </c>
      <c r="D75" s="4">
        <v>1.62</v>
      </c>
      <c r="E75" s="4">
        <v>60</v>
      </c>
      <c r="F75" s="7">
        <f t="shared" si="1"/>
        <v>22.862368541380881</v>
      </c>
      <c r="G75" s="4">
        <v>90</v>
      </c>
      <c r="H75" s="4">
        <v>60</v>
      </c>
      <c r="I75" s="4">
        <v>0</v>
      </c>
      <c r="J75" s="4">
        <v>0</v>
      </c>
      <c r="K75" s="4" t="s">
        <v>129</v>
      </c>
      <c r="L75" s="4">
        <v>0</v>
      </c>
      <c r="M75" s="4" t="s">
        <v>310</v>
      </c>
      <c r="N75" s="4">
        <v>2</v>
      </c>
    </row>
    <row r="76" spans="1:15" ht="14.25" customHeight="1" x14ac:dyDescent="0.2">
      <c r="A76" s="4" t="s">
        <v>132</v>
      </c>
      <c r="B76" s="4">
        <v>0</v>
      </c>
      <c r="C76" s="4">
        <v>27</v>
      </c>
      <c r="D76" s="4">
        <v>1.68</v>
      </c>
      <c r="E76" s="4">
        <v>62</v>
      </c>
      <c r="F76" s="7">
        <f t="shared" si="1"/>
        <v>21.9671201814059</v>
      </c>
      <c r="G76" s="4">
        <v>120</v>
      </c>
      <c r="H76" s="4">
        <v>80</v>
      </c>
      <c r="I76" s="4">
        <v>0</v>
      </c>
      <c r="J76" s="4">
        <v>0</v>
      </c>
      <c r="K76" s="4">
        <v>0</v>
      </c>
      <c r="L76" s="4">
        <v>0</v>
      </c>
      <c r="M76" s="4" t="s">
        <v>69</v>
      </c>
      <c r="N76" s="4">
        <v>0</v>
      </c>
    </row>
    <row r="77" spans="1:15" ht="14.25" customHeight="1" x14ac:dyDescent="0.2">
      <c r="A77" s="4" t="s">
        <v>133</v>
      </c>
      <c r="B77" s="4">
        <v>0</v>
      </c>
      <c r="C77" s="4">
        <v>63</v>
      </c>
      <c r="D77" s="4">
        <v>1.62</v>
      </c>
      <c r="E77" s="4">
        <v>65</v>
      </c>
      <c r="F77" s="7">
        <f t="shared" si="1"/>
        <v>24.767565919829291</v>
      </c>
      <c r="G77" s="4">
        <v>110</v>
      </c>
      <c r="H77" s="4">
        <v>80</v>
      </c>
      <c r="I77" s="4">
        <v>0</v>
      </c>
      <c r="J77" s="4">
        <v>0</v>
      </c>
      <c r="K77" s="4" t="s">
        <v>134</v>
      </c>
      <c r="L77" s="4">
        <v>0</v>
      </c>
      <c r="M77" s="4" t="s">
        <v>69</v>
      </c>
      <c r="N77" s="4">
        <v>0</v>
      </c>
    </row>
    <row r="78" spans="1:15" ht="14.25" customHeight="1" x14ac:dyDescent="0.2">
      <c r="A78" s="4" t="s">
        <v>135</v>
      </c>
      <c r="B78" s="4">
        <v>0</v>
      </c>
      <c r="C78" s="4">
        <v>27</v>
      </c>
      <c r="D78" s="4">
        <v>1.67</v>
      </c>
      <c r="E78" s="4">
        <v>63</v>
      </c>
      <c r="F78" s="7">
        <f t="shared" si="1"/>
        <v>22.589551436050055</v>
      </c>
      <c r="G78" s="4">
        <v>90</v>
      </c>
      <c r="H78" s="4">
        <v>60</v>
      </c>
      <c r="I78" s="4">
        <v>0</v>
      </c>
      <c r="J78" s="4">
        <v>0</v>
      </c>
      <c r="K78" s="4" t="s">
        <v>63</v>
      </c>
      <c r="L78" s="4">
        <v>0</v>
      </c>
      <c r="M78" s="4" t="s">
        <v>69</v>
      </c>
      <c r="N78" s="4">
        <v>0</v>
      </c>
    </row>
    <row r="79" spans="1:15" ht="14.25" customHeight="1" x14ac:dyDescent="0.2">
      <c r="A79" s="4" t="s">
        <v>136</v>
      </c>
      <c r="B79" s="4">
        <v>0</v>
      </c>
      <c r="C79" s="4">
        <v>29</v>
      </c>
      <c r="D79" s="4">
        <v>1.71</v>
      </c>
      <c r="E79" s="4">
        <v>102</v>
      </c>
      <c r="F79" s="7">
        <f t="shared" si="1"/>
        <v>34.882527957320207</v>
      </c>
      <c r="G79" s="4">
        <v>120</v>
      </c>
      <c r="H79" s="4">
        <v>80</v>
      </c>
      <c r="I79" s="4">
        <v>0</v>
      </c>
      <c r="J79" s="4">
        <v>0</v>
      </c>
      <c r="K79" s="4" t="s">
        <v>137</v>
      </c>
      <c r="L79" s="4">
        <v>1</v>
      </c>
      <c r="M79" s="4" t="s">
        <v>148</v>
      </c>
      <c r="N79" s="4">
        <v>3</v>
      </c>
      <c r="O79" s="4" t="s">
        <v>138</v>
      </c>
    </row>
    <row r="80" spans="1:15" ht="14.25" customHeight="1" x14ac:dyDescent="0.2">
      <c r="A80" s="4" t="s">
        <v>139</v>
      </c>
      <c r="B80" s="4">
        <v>1</v>
      </c>
      <c r="C80" s="4">
        <v>35</v>
      </c>
      <c r="D80" s="4">
        <v>1.8</v>
      </c>
      <c r="E80" s="4">
        <v>92</v>
      </c>
      <c r="F80" s="7">
        <f t="shared" si="1"/>
        <v>28.39506172839506</v>
      </c>
      <c r="G80" s="4">
        <v>120</v>
      </c>
      <c r="H80" s="4">
        <v>70</v>
      </c>
      <c r="I80" s="4">
        <v>0</v>
      </c>
      <c r="J80" s="4">
        <v>0</v>
      </c>
      <c r="K80" s="4">
        <v>0</v>
      </c>
      <c r="L80" s="4">
        <v>0</v>
      </c>
      <c r="M80" s="4" t="s">
        <v>148</v>
      </c>
      <c r="N80" s="4">
        <v>3</v>
      </c>
    </row>
    <row r="81" spans="1:14" ht="14.25" customHeight="1" x14ac:dyDescent="0.2">
      <c r="A81" s="4" t="s">
        <v>140</v>
      </c>
      <c r="B81" s="4">
        <v>0</v>
      </c>
      <c r="C81" s="4">
        <v>30</v>
      </c>
      <c r="D81" s="4">
        <v>1.65</v>
      </c>
      <c r="E81" s="4">
        <v>59</v>
      </c>
      <c r="F81" s="7">
        <f t="shared" si="1"/>
        <v>21.6712580348944</v>
      </c>
      <c r="G81" s="4">
        <v>110</v>
      </c>
      <c r="H81" s="4">
        <v>60</v>
      </c>
      <c r="I81" s="4">
        <v>0</v>
      </c>
      <c r="J81" s="4">
        <v>0</v>
      </c>
      <c r="K81" s="4">
        <v>0</v>
      </c>
      <c r="L81" s="4">
        <v>0</v>
      </c>
      <c r="M81" s="4" t="s">
        <v>69</v>
      </c>
      <c r="N81" s="4">
        <v>0</v>
      </c>
    </row>
    <row r="82" spans="1:14" ht="14.25" customHeight="1" x14ac:dyDescent="0.2">
      <c r="A82" s="4" t="s">
        <v>143</v>
      </c>
      <c r="B82" s="4">
        <v>1</v>
      </c>
      <c r="C82" s="4">
        <v>24</v>
      </c>
      <c r="D82" s="4">
        <v>1.7</v>
      </c>
      <c r="E82" s="4">
        <v>78</v>
      </c>
      <c r="F82" s="7">
        <f t="shared" si="1"/>
        <v>26.989619377162633</v>
      </c>
      <c r="G82" s="4">
        <v>120</v>
      </c>
      <c r="H82" s="4">
        <v>80</v>
      </c>
      <c r="I82" s="4">
        <v>0</v>
      </c>
      <c r="J82" s="4">
        <v>0</v>
      </c>
      <c r="K82" s="4">
        <v>0</v>
      </c>
      <c r="L82" s="4">
        <v>0</v>
      </c>
      <c r="M82" s="4" t="s">
        <v>69</v>
      </c>
      <c r="N82" s="4">
        <v>0</v>
      </c>
    </row>
    <row r="83" spans="1:14" ht="14.25" customHeight="1" x14ac:dyDescent="0.2">
      <c r="A83" s="4" t="s">
        <v>145</v>
      </c>
      <c r="B83" s="4">
        <v>0</v>
      </c>
      <c r="C83" s="4">
        <v>36</v>
      </c>
      <c r="D83" s="4">
        <v>1.56</v>
      </c>
      <c r="E83" s="4">
        <v>85</v>
      </c>
      <c r="F83" s="7">
        <f t="shared" si="1"/>
        <v>34.927679158448385</v>
      </c>
      <c r="G83" s="4">
        <v>130</v>
      </c>
      <c r="H83" s="4">
        <v>60</v>
      </c>
      <c r="I83" s="4">
        <v>0</v>
      </c>
      <c r="J83" s="4">
        <v>0</v>
      </c>
      <c r="K83" s="4">
        <v>0</v>
      </c>
      <c r="L83" s="4">
        <v>0</v>
      </c>
      <c r="M83" s="4" t="s">
        <v>69</v>
      </c>
      <c r="N83" s="4">
        <v>0</v>
      </c>
    </row>
    <row r="84" spans="1:14" ht="14.25" customHeight="1" x14ac:dyDescent="0.2">
      <c r="A84" s="4" t="s">
        <v>146</v>
      </c>
      <c r="B84" s="4">
        <v>0</v>
      </c>
      <c r="C84" s="4">
        <v>41</v>
      </c>
      <c r="D84" s="4">
        <v>1.71</v>
      </c>
      <c r="E84" s="4">
        <v>77</v>
      </c>
      <c r="F84" s="7">
        <f t="shared" si="1"/>
        <v>26.332888752094664</v>
      </c>
      <c r="G84" s="4">
        <v>110</v>
      </c>
      <c r="H84" s="4">
        <v>70</v>
      </c>
      <c r="I84" s="4">
        <v>0</v>
      </c>
      <c r="J84" s="4">
        <v>0</v>
      </c>
      <c r="K84" s="4">
        <v>0</v>
      </c>
      <c r="L84" s="4">
        <v>0</v>
      </c>
      <c r="M84" s="4" t="s">
        <v>148</v>
      </c>
      <c r="N84" s="4">
        <v>3</v>
      </c>
    </row>
    <row r="85" spans="1:14" ht="14.25" customHeight="1" x14ac:dyDescent="0.2">
      <c r="A85" s="4" t="s">
        <v>147</v>
      </c>
      <c r="B85" s="4">
        <v>1</v>
      </c>
      <c r="C85" s="4">
        <v>33</v>
      </c>
      <c r="D85" s="4">
        <v>1.67</v>
      </c>
      <c r="E85" s="4">
        <v>70</v>
      </c>
      <c r="F85" s="7">
        <f t="shared" ref="F85:F173" si="2">E85/(D85*D85)</f>
        <v>25.099501595611173</v>
      </c>
      <c r="G85" s="4">
        <v>120</v>
      </c>
      <c r="H85" s="4">
        <v>80</v>
      </c>
      <c r="I85" s="4">
        <v>0</v>
      </c>
      <c r="J85" s="4">
        <v>0</v>
      </c>
      <c r="K85" s="4">
        <v>0</v>
      </c>
      <c r="L85" s="4">
        <v>0</v>
      </c>
      <c r="M85" s="4" t="s">
        <v>148</v>
      </c>
      <c r="N85" s="4">
        <v>3</v>
      </c>
    </row>
    <row r="86" spans="1:14" ht="14.25" customHeight="1" x14ac:dyDescent="0.2">
      <c r="A86" s="4" t="s">
        <v>150</v>
      </c>
      <c r="B86" s="4">
        <v>0</v>
      </c>
      <c r="C86" s="4">
        <v>25</v>
      </c>
      <c r="D86" s="4">
        <v>1.67</v>
      </c>
      <c r="E86" s="4">
        <v>70</v>
      </c>
      <c r="F86" s="7">
        <f t="shared" si="2"/>
        <v>25.099501595611173</v>
      </c>
      <c r="G86" s="4">
        <v>110</v>
      </c>
      <c r="H86" s="4">
        <v>80</v>
      </c>
      <c r="I86" s="4">
        <v>0</v>
      </c>
      <c r="J86" s="4">
        <v>0</v>
      </c>
      <c r="K86" s="4" t="s">
        <v>63</v>
      </c>
      <c r="L86" s="4">
        <v>0</v>
      </c>
      <c r="M86" s="4" t="s">
        <v>310</v>
      </c>
      <c r="N86" s="4">
        <v>2</v>
      </c>
    </row>
    <row r="87" spans="1:14" ht="14.25" customHeight="1" x14ac:dyDescent="0.2">
      <c r="A87" s="4" t="s">
        <v>151</v>
      </c>
      <c r="B87" s="4">
        <v>1</v>
      </c>
      <c r="C87" s="4">
        <v>24</v>
      </c>
      <c r="D87" s="4">
        <v>1.8</v>
      </c>
      <c r="E87" s="4">
        <v>88</v>
      </c>
      <c r="F87" s="7">
        <f t="shared" si="2"/>
        <v>27.160493827160494</v>
      </c>
      <c r="G87" s="4">
        <v>110</v>
      </c>
      <c r="H87" s="4">
        <v>60</v>
      </c>
      <c r="I87" s="4">
        <v>0</v>
      </c>
      <c r="J87" s="4">
        <v>0</v>
      </c>
      <c r="K87" s="4">
        <v>0</v>
      </c>
      <c r="L87" s="4">
        <v>0</v>
      </c>
      <c r="M87" s="4" t="s">
        <v>148</v>
      </c>
      <c r="N87" s="4">
        <v>3</v>
      </c>
    </row>
    <row r="88" spans="1:14" ht="14.25" customHeight="1" x14ac:dyDescent="0.2">
      <c r="A88" s="4" t="s">
        <v>152</v>
      </c>
      <c r="B88" s="4">
        <v>0</v>
      </c>
      <c r="C88" s="4">
        <v>31</v>
      </c>
      <c r="D88" s="4">
        <v>1.65</v>
      </c>
      <c r="E88" s="4">
        <v>61</v>
      </c>
      <c r="F88" s="7">
        <f t="shared" si="2"/>
        <v>22.4058769513315</v>
      </c>
      <c r="G88" s="4">
        <v>120</v>
      </c>
      <c r="H88" s="4">
        <v>80</v>
      </c>
      <c r="I88" s="4">
        <v>0</v>
      </c>
      <c r="J88" s="4">
        <v>0</v>
      </c>
      <c r="K88" s="4">
        <v>0</v>
      </c>
      <c r="L88" s="4">
        <v>0</v>
      </c>
      <c r="M88" s="4" t="s">
        <v>148</v>
      </c>
      <c r="N88" s="4">
        <v>3</v>
      </c>
    </row>
    <row r="89" spans="1:14" ht="14.25" customHeight="1" x14ac:dyDescent="0.2">
      <c r="A89" s="4" t="s">
        <v>154</v>
      </c>
      <c r="B89" s="4">
        <v>0</v>
      </c>
      <c r="C89" s="4">
        <v>29</v>
      </c>
      <c r="D89" s="4">
        <v>1.57</v>
      </c>
      <c r="E89" s="4">
        <v>46</v>
      </c>
      <c r="F89" s="7">
        <f t="shared" si="2"/>
        <v>18.662014686194166</v>
      </c>
      <c r="G89" s="4">
        <v>90</v>
      </c>
      <c r="H89" s="4">
        <v>60</v>
      </c>
      <c r="I89" s="4">
        <v>0</v>
      </c>
      <c r="J89" s="4">
        <v>0</v>
      </c>
      <c r="K89" s="4" t="s">
        <v>63</v>
      </c>
      <c r="L89" s="4">
        <v>0</v>
      </c>
      <c r="M89" s="4" t="s">
        <v>69</v>
      </c>
      <c r="N89" s="4">
        <v>0</v>
      </c>
    </row>
    <row r="90" spans="1:14" ht="14.25" customHeight="1" x14ac:dyDescent="0.2">
      <c r="A90" s="4" t="s">
        <v>155</v>
      </c>
      <c r="B90" s="4">
        <v>1</v>
      </c>
      <c r="C90" s="4">
        <v>37</v>
      </c>
      <c r="D90" s="4">
        <v>1.72</v>
      </c>
      <c r="E90" s="4">
        <v>73</v>
      </c>
      <c r="F90" s="7">
        <f t="shared" si="2"/>
        <v>24.675500270416443</v>
      </c>
      <c r="G90" s="4">
        <v>120</v>
      </c>
      <c r="H90" s="4">
        <v>80</v>
      </c>
      <c r="I90" s="4">
        <v>0</v>
      </c>
      <c r="J90" s="4">
        <v>0</v>
      </c>
      <c r="K90" s="4">
        <v>0</v>
      </c>
      <c r="L90" s="4">
        <v>0</v>
      </c>
      <c r="M90" s="4" t="s">
        <v>311</v>
      </c>
      <c r="N90" s="4">
        <v>1</v>
      </c>
    </row>
    <row r="91" spans="1:14" ht="14.25" customHeight="1" x14ac:dyDescent="0.2">
      <c r="A91" s="4" t="s">
        <v>156</v>
      </c>
      <c r="B91" s="4">
        <v>1</v>
      </c>
      <c r="C91" s="4">
        <v>33</v>
      </c>
      <c r="D91" s="4">
        <v>1.84</v>
      </c>
      <c r="E91" s="4">
        <v>107</v>
      </c>
      <c r="F91" s="7">
        <f t="shared" si="2"/>
        <v>31.604442344045367</v>
      </c>
      <c r="G91" s="4">
        <v>120</v>
      </c>
      <c r="H91" s="4">
        <v>90</v>
      </c>
      <c r="I91" s="4">
        <v>0</v>
      </c>
      <c r="J91" s="4">
        <v>0</v>
      </c>
      <c r="K91" s="4">
        <v>0</v>
      </c>
      <c r="L91" s="4">
        <v>0</v>
      </c>
      <c r="M91" s="4" t="s">
        <v>148</v>
      </c>
      <c r="N91" s="4">
        <v>3</v>
      </c>
    </row>
    <row r="92" spans="1:14" ht="14.25" customHeight="1" x14ac:dyDescent="0.2">
      <c r="A92" s="4" t="s">
        <v>158</v>
      </c>
      <c r="B92" s="4">
        <v>0</v>
      </c>
      <c r="C92" s="4">
        <v>44</v>
      </c>
      <c r="D92" s="4">
        <v>1.63</v>
      </c>
      <c r="E92" s="4">
        <v>80</v>
      </c>
      <c r="F92" s="7">
        <f t="shared" si="2"/>
        <v>30.110278896458279</v>
      </c>
      <c r="G92" s="4">
        <v>120</v>
      </c>
      <c r="H92" s="4">
        <v>80</v>
      </c>
      <c r="I92" s="4">
        <v>0</v>
      </c>
      <c r="J92" s="4">
        <v>0</v>
      </c>
      <c r="K92" s="4" t="s">
        <v>123</v>
      </c>
      <c r="L92" s="4">
        <v>0</v>
      </c>
      <c r="M92" s="4" t="s">
        <v>311</v>
      </c>
      <c r="N92" s="4">
        <v>1</v>
      </c>
    </row>
    <row r="93" spans="1:14" ht="14.25" customHeight="1" x14ac:dyDescent="0.2">
      <c r="A93" s="4" t="s">
        <v>160</v>
      </c>
      <c r="B93" s="4">
        <v>0</v>
      </c>
      <c r="C93" s="4">
        <v>48</v>
      </c>
      <c r="D93" s="4">
        <v>1.65</v>
      </c>
      <c r="E93" s="4">
        <v>68</v>
      </c>
      <c r="F93" s="7">
        <f t="shared" si="2"/>
        <v>24.977043158861342</v>
      </c>
      <c r="G93" s="4">
        <v>120</v>
      </c>
      <c r="H93" s="4">
        <v>90</v>
      </c>
      <c r="I93" s="4">
        <v>0</v>
      </c>
      <c r="J93" s="4">
        <v>0</v>
      </c>
      <c r="K93" s="4">
        <v>0</v>
      </c>
      <c r="L93" s="4">
        <v>0</v>
      </c>
      <c r="M93" s="4" t="s">
        <v>148</v>
      </c>
      <c r="N93" s="4">
        <v>3</v>
      </c>
    </row>
    <row r="94" spans="1:14" ht="14.25" customHeight="1" x14ac:dyDescent="0.2">
      <c r="A94" s="4" t="s">
        <v>161</v>
      </c>
      <c r="B94" s="4">
        <v>0</v>
      </c>
      <c r="C94" s="4">
        <v>25</v>
      </c>
      <c r="D94" s="4">
        <v>1.61</v>
      </c>
      <c r="E94" s="4">
        <v>78</v>
      </c>
      <c r="F94" s="7">
        <f t="shared" si="2"/>
        <v>30.091431657729252</v>
      </c>
      <c r="G94" s="4">
        <v>110</v>
      </c>
      <c r="H94" s="4">
        <v>80</v>
      </c>
      <c r="I94" s="4">
        <v>0</v>
      </c>
      <c r="J94" s="4">
        <v>0</v>
      </c>
      <c r="K94" s="4">
        <v>0</v>
      </c>
      <c r="L94" s="4">
        <v>0</v>
      </c>
      <c r="M94" s="4" t="s">
        <v>69</v>
      </c>
      <c r="N94" s="4">
        <v>0</v>
      </c>
    </row>
    <row r="95" spans="1:14" ht="14.25" customHeight="1" x14ac:dyDescent="0.2">
      <c r="A95" s="4" t="s">
        <v>163</v>
      </c>
      <c r="B95" s="4">
        <v>0</v>
      </c>
      <c r="C95" s="4">
        <v>35</v>
      </c>
      <c r="D95" s="4">
        <v>1.73</v>
      </c>
      <c r="E95" s="4">
        <v>65</v>
      </c>
      <c r="F95" s="7">
        <f t="shared" si="2"/>
        <v>21.718066089745729</v>
      </c>
      <c r="G95" s="4">
        <v>110</v>
      </c>
      <c r="H95" s="4">
        <v>70</v>
      </c>
      <c r="I95" s="4">
        <v>0</v>
      </c>
      <c r="J95" s="4">
        <v>0</v>
      </c>
      <c r="K95" s="4">
        <v>0</v>
      </c>
      <c r="L95" s="4">
        <v>0</v>
      </c>
      <c r="M95" s="4" t="s">
        <v>310</v>
      </c>
      <c r="N95" s="4">
        <v>2</v>
      </c>
    </row>
    <row r="96" spans="1:14" ht="14.25" customHeight="1" x14ac:dyDescent="0.2">
      <c r="A96" s="4" t="s">
        <v>164</v>
      </c>
      <c r="B96" s="4">
        <v>0</v>
      </c>
      <c r="C96" s="4">
        <v>36</v>
      </c>
      <c r="D96" s="4">
        <v>1.65</v>
      </c>
      <c r="E96" s="4">
        <v>49</v>
      </c>
      <c r="F96" s="7">
        <f t="shared" si="2"/>
        <v>17.998163452708908</v>
      </c>
      <c r="G96" s="4">
        <v>100</v>
      </c>
      <c r="H96" s="4">
        <v>60</v>
      </c>
      <c r="I96" s="4">
        <v>0</v>
      </c>
      <c r="J96" s="4">
        <v>0</v>
      </c>
      <c r="K96" s="4">
        <v>0</v>
      </c>
      <c r="L96" s="4">
        <v>0</v>
      </c>
      <c r="M96" s="4" t="s">
        <v>69</v>
      </c>
      <c r="N96" s="4">
        <v>0</v>
      </c>
    </row>
    <row r="97" spans="1:14" ht="14.25" customHeight="1" x14ac:dyDescent="0.2">
      <c r="A97" s="4" t="s">
        <v>165</v>
      </c>
      <c r="B97" s="4">
        <v>0</v>
      </c>
      <c r="C97" s="4">
        <v>24</v>
      </c>
      <c r="D97" s="4">
        <v>1.63</v>
      </c>
      <c r="E97" s="4">
        <v>66</v>
      </c>
      <c r="F97" s="7">
        <f t="shared" si="2"/>
        <v>24.840980089578082</v>
      </c>
      <c r="G97" s="4">
        <v>100</v>
      </c>
      <c r="H97" s="4">
        <v>60</v>
      </c>
      <c r="I97" s="4">
        <v>0</v>
      </c>
      <c r="J97" s="4">
        <v>0</v>
      </c>
      <c r="K97" s="4" t="s">
        <v>63</v>
      </c>
      <c r="L97" s="4">
        <v>0</v>
      </c>
      <c r="M97" s="4" t="s">
        <v>148</v>
      </c>
      <c r="N97" s="4">
        <v>3</v>
      </c>
    </row>
    <row r="98" spans="1:14" ht="14.25" customHeight="1" x14ac:dyDescent="0.2">
      <c r="A98" s="4" t="s">
        <v>166</v>
      </c>
      <c r="B98" s="4">
        <v>0</v>
      </c>
      <c r="C98" s="4">
        <v>22</v>
      </c>
      <c r="D98" s="4">
        <v>1.53</v>
      </c>
      <c r="E98" s="4">
        <v>52</v>
      </c>
      <c r="F98" s="7">
        <f t="shared" si="2"/>
        <v>22.213678499722331</v>
      </c>
      <c r="G98" s="4">
        <v>120</v>
      </c>
      <c r="H98" s="4">
        <v>80</v>
      </c>
      <c r="I98" s="4">
        <v>0</v>
      </c>
      <c r="J98" s="4">
        <v>0</v>
      </c>
      <c r="K98" s="4">
        <v>0</v>
      </c>
      <c r="L98" s="4">
        <v>0</v>
      </c>
      <c r="M98" s="4" t="s">
        <v>310</v>
      </c>
      <c r="N98" s="4">
        <v>2</v>
      </c>
    </row>
    <row r="99" spans="1:14" ht="14.25" customHeight="1" x14ac:dyDescent="0.2">
      <c r="A99" s="4" t="s">
        <v>167</v>
      </c>
      <c r="B99" s="4">
        <v>0</v>
      </c>
      <c r="C99" s="4">
        <v>23</v>
      </c>
      <c r="D99" s="4">
        <v>1.69</v>
      </c>
      <c r="E99" s="4">
        <v>64</v>
      </c>
      <c r="F99" s="7">
        <f t="shared" si="2"/>
        <v>22.408178985329648</v>
      </c>
      <c r="G99" s="4">
        <v>120</v>
      </c>
      <c r="H99" s="4">
        <v>90</v>
      </c>
      <c r="I99" s="4">
        <v>0</v>
      </c>
      <c r="J99" s="4">
        <v>0</v>
      </c>
      <c r="K99" s="4" t="s">
        <v>63</v>
      </c>
      <c r="L99" s="4">
        <v>0</v>
      </c>
      <c r="M99" s="4" t="s">
        <v>148</v>
      </c>
      <c r="N99" s="4">
        <v>3</v>
      </c>
    </row>
    <row r="100" spans="1:14" ht="14.25" customHeight="1" x14ac:dyDescent="0.2">
      <c r="A100" s="4" t="s">
        <v>169</v>
      </c>
      <c r="B100" s="4">
        <v>0</v>
      </c>
      <c r="C100" s="4">
        <v>23</v>
      </c>
      <c r="D100" s="4">
        <v>1.62</v>
      </c>
      <c r="E100" s="4">
        <v>60</v>
      </c>
      <c r="F100" s="7">
        <f t="shared" si="2"/>
        <v>22.862368541380881</v>
      </c>
      <c r="G100" s="4">
        <v>120</v>
      </c>
      <c r="H100" s="4">
        <v>80</v>
      </c>
      <c r="I100" s="4">
        <v>0</v>
      </c>
      <c r="J100" s="4">
        <v>0</v>
      </c>
      <c r="K100" s="4">
        <v>0</v>
      </c>
      <c r="L100" s="4">
        <v>0</v>
      </c>
      <c r="M100" s="4" t="s">
        <v>148</v>
      </c>
      <c r="N100" s="4">
        <v>3</v>
      </c>
    </row>
    <row r="101" spans="1:14" ht="14.25" customHeight="1" x14ac:dyDescent="0.2">
      <c r="A101" s="4" t="s">
        <v>170</v>
      </c>
      <c r="B101" s="4">
        <v>0</v>
      </c>
      <c r="C101" s="4">
        <v>25</v>
      </c>
      <c r="D101" s="4">
        <v>1.71</v>
      </c>
      <c r="E101" s="4">
        <v>59</v>
      </c>
      <c r="F101" s="7">
        <f t="shared" si="2"/>
        <v>20.177148524332274</v>
      </c>
      <c r="G101" s="4">
        <v>90</v>
      </c>
      <c r="H101" s="4">
        <v>60</v>
      </c>
      <c r="I101" s="4">
        <v>0</v>
      </c>
      <c r="J101" s="4">
        <v>0</v>
      </c>
      <c r="K101" s="4">
        <v>0</v>
      </c>
      <c r="L101" s="4">
        <v>0</v>
      </c>
      <c r="M101" s="4" t="s">
        <v>310</v>
      </c>
      <c r="N101" s="4">
        <v>3</v>
      </c>
    </row>
    <row r="102" spans="1:14" ht="14.25" customHeight="1" x14ac:dyDescent="0.2">
      <c r="A102" s="4" t="s">
        <v>171</v>
      </c>
      <c r="B102" s="4">
        <v>0</v>
      </c>
      <c r="C102" s="4">
        <v>43</v>
      </c>
      <c r="D102" s="4">
        <v>1.62</v>
      </c>
      <c r="E102" s="4">
        <v>53</v>
      </c>
      <c r="F102" s="7">
        <f t="shared" si="2"/>
        <v>20.195092211553114</v>
      </c>
      <c r="G102" s="4">
        <v>110</v>
      </c>
      <c r="H102" s="4">
        <v>80</v>
      </c>
      <c r="I102" s="4">
        <v>0</v>
      </c>
      <c r="J102" s="4">
        <v>0</v>
      </c>
      <c r="K102" s="4">
        <v>0</v>
      </c>
      <c r="L102" s="4">
        <v>0</v>
      </c>
      <c r="M102" s="4" t="s">
        <v>310</v>
      </c>
      <c r="N102" s="4">
        <v>2</v>
      </c>
    </row>
    <row r="103" spans="1:14" ht="14.25" customHeight="1" x14ac:dyDescent="0.2">
      <c r="A103" s="4" t="s">
        <v>165</v>
      </c>
      <c r="B103" s="4">
        <v>0</v>
      </c>
      <c r="C103" s="4">
        <v>24</v>
      </c>
      <c r="D103" s="4">
        <v>1.63</v>
      </c>
      <c r="E103" s="4">
        <v>66</v>
      </c>
      <c r="F103" s="7">
        <f t="shared" si="2"/>
        <v>24.840980089578082</v>
      </c>
      <c r="G103" s="4">
        <v>110</v>
      </c>
      <c r="H103" s="4">
        <v>80</v>
      </c>
      <c r="I103" s="4">
        <v>0</v>
      </c>
      <c r="J103" s="4">
        <v>0</v>
      </c>
      <c r="K103" s="4" t="s">
        <v>63</v>
      </c>
      <c r="L103" s="4">
        <v>0</v>
      </c>
      <c r="M103" s="4" t="s">
        <v>148</v>
      </c>
      <c r="N103" s="4">
        <v>3</v>
      </c>
    </row>
    <row r="104" spans="1:14" ht="14.25" customHeight="1" x14ac:dyDescent="0.2">
      <c r="A104" s="4" t="s">
        <v>172</v>
      </c>
      <c r="B104" s="4">
        <v>0</v>
      </c>
      <c r="C104" s="4">
        <v>27</v>
      </c>
      <c r="D104" s="4">
        <v>1.6</v>
      </c>
      <c r="E104" s="4">
        <v>51</v>
      </c>
      <c r="F104" s="7">
        <f t="shared" si="2"/>
        <v>19.921874999999996</v>
      </c>
      <c r="G104" s="4">
        <v>120</v>
      </c>
      <c r="H104" s="4">
        <v>80</v>
      </c>
      <c r="I104" s="4">
        <v>0</v>
      </c>
      <c r="J104" s="4">
        <v>0</v>
      </c>
      <c r="K104" s="4">
        <v>0</v>
      </c>
      <c r="L104" s="4">
        <v>0</v>
      </c>
      <c r="M104" s="4" t="s">
        <v>148</v>
      </c>
      <c r="N104" s="4">
        <v>3</v>
      </c>
    </row>
    <row r="105" spans="1:14" ht="14.25" customHeight="1" x14ac:dyDescent="0.2">
      <c r="A105" s="4" t="s">
        <v>173</v>
      </c>
      <c r="B105" s="4">
        <v>0</v>
      </c>
      <c r="C105" s="4">
        <v>23</v>
      </c>
      <c r="D105" s="4">
        <v>1.73</v>
      </c>
      <c r="E105" s="4">
        <v>64</v>
      </c>
      <c r="F105" s="7">
        <f t="shared" si="2"/>
        <v>21.383941996057334</v>
      </c>
      <c r="G105" s="4">
        <v>120</v>
      </c>
      <c r="H105" s="4">
        <v>80</v>
      </c>
      <c r="I105" s="4">
        <v>0</v>
      </c>
      <c r="J105" s="4">
        <v>0</v>
      </c>
      <c r="K105" s="4">
        <v>0</v>
      </c>
      <c r="L105" s="4">
        <v>0</v>
      </c>
      <c r="M105" s="4" t="s">
        <v>69</v>
      </c>
      <c r="N105" s="4">
        <v>0</v>
      </c>
    </row>
    <row r="106" spans="1:14" ht="14.25" customHeight="1" x14ac:dyDescent="0.2">
      <c r="A106" s="4" t="s">
        <v>174</v>
      </c>
      <c r="B106" s="4">
        <v>0</v>
      </c>
      <c r="C106" s="4">
        <v>24</v>
      </c>
      <c r="D106" s="4">
        <v>1.69</v>
      </c>
      <c r="E106" s="4">
        <v>73</v>
      </c>
      <c r="F106" s="7">
        <f t="shared" si="2"/>
        <v>25.559329155141629</v>
      </c>
      <c r="G106" s="4">
        <v>110</v>
      </c>
      <c r="H106" s="4">
        <v>80</v>
      </c>
      <c r="I106" s="4">
        <v>0</v>
      </c>
      <c r="J106" s="4">
        <v>0</v>
      </c>
      <c r="K106" s="4">
        <v>0</v>
      </c>
      <c r="L106" s="4">
        <v>0</v>
      </c>
      <c r="M106" s="4" t="s">
        <v>148</v>
      </c>
      <c r="N106" s="4">
        <v>3</v>
      </c>
    </row>
    <row r="107" spans="1:14" ht="14.25" customHeight="1" x14ac:dyDescent="0.2">
      <c r="A107" s="4" t="s">
        <v>176</v>
      </c>
      <c r="B107" s="4">
        <v>0</v>
      </c>
      <c r="C107" s="4">
        <v>24</v>
      </c>
      <c r="D107" s="4">
        <v>1.6</v>
      </c>
      <c r="E107" s="4">
        <v>56</v>
      </c>
      <c r="F107" s="7">
        <f t="shared" si="2"/>
        <v>21.874999999999996</v>
      </c>
      <c r="G107" s="4">
        <v>110</v>
      </c>
      <c r="H107" s="4">
        <v>80</v>
      </c>
      <c r="I107" s="4">
        <v>0</v>
      </c>
      <c r="J107" s="4">
        <v>0</v>
      </c>
      <c r="K107" s="4">
        <v>0</v>
      </c>
      <c r="L107" s="4">
        <v>0</v>
      </c>
      <c r="M107" s="4" t="s">
        <v>148</v>
      </c>
      <c r="N107" s="4">
        <v>3</v>
      </c>
    </row>
    <row r="108" spans="1:14" ht="14.25" customHeight="1" x14ac:dyDescent="0.2">
      <c r="A108" s="4" t="s">
        <v>177</v>
      </c>
      <c r="B108" s="4">
        <v>0</v>
      </c>
      <c r="C108" s="4">
        <v>23</v>
      </c>
      <c r="D108" s="4">
        <v>1.65</v>
      </c>
      <c r="E108" s="4">
        <v>55</v>
      </c>
      <c r="F108" s="7">
        <f t="shared" si="2"/>
        <v>20.202020202020204</v>
      </c>
      <c r="G108" s="4">
        <v>110</v>
      </c>
      <c r="H108" s="4">
        <v>80</v>
      </c>
      <c r="I108" s="4">
        <v>0</v>
      </c>
      <c r="J108" s="4">
        <v>0</v>
      </c>
      <c r="K108" s="4">
        <v>0</v>
      </c>
      <c r="L108" s="4">
        <v>0</v>
      </c>
      <c r="M108" s="4" t="s">
        <v>311</v>
      </c>
      <c r="N108" s="4">
        <v>3</v>
      </c>
    </row>
    <row r="109" spans="1:14" ht="14.25" customHeight="1" x14ac:dyDescent="0.2">
      <c r="A109" s="4" t="s">
        <v>178</v>
      </c>
      <c r="B109" s="4">
        <v>0</v>
      </c>
      <c r="C109" s="4">
        <v>24</v>
      </c>
      <c r="D109" s="4">
        <v>1.56</v>
      </c>
      <c r="E109" s="4">
        <v>72</v>
      </c>
      <c r="F109" s="7">
        <f t="shared" si="2"/>
        <v>29.585798816568044</v>
      </c>
      <c r="G109" s="4">
        <v>110</v>
      </c>
      <c r="H109" s="4">
        <v>80</v>
      </c>
      <c r="I109" s="4">
        <v>0</v>
      </c>
      <c r="J109" s="4">
        <v>0</v>
      </c>
      <c r="K109" s="4">
        <v>0</v>
      </c>
      <c r="L109" s="4">
        <v>0</v>
      </c>
      <c r="M109" s="4" t="s">
        <v>148</v>
      </c>
      <c r="N109" s="4">
        <v>3</v>
      </c>
    </row>
    <row r="110" spans="1:14" ht="14.25" customHeight="1" x14ac:dyDescent="0.2">
      <c r="A110" s="4" t="s">
        <v>180</v>
      </c>
      <c r="B110" s="4">
        <v>1</v>
      </c>
      <c r="C110" s="4">
        <v>23</v>
      </c>
      <c r="D110" s="4">
        <v>1.76</v>
      </c>
      <c r="E110" s="4">
        <v>100</v>
      </c>
      <c r="F110" s="7">
        <f t="shared" si="2"/>
        <v>32.283057851239668</v>
      </c>
      <c r="G110" s="4">
        <v>140</v>
      </c>
      <c r="H110" s="4">
        <v>90</v>
      </c>
      <c r="I110" s="4">
        <v>0</v>
      </c>
      <c r="J110" s="4">
        <v>0</v>
      </c>
      <c r="K110" s="4">
        <v>0</v>
      </c>
      <c r="L110" s="4">
        <v>0</v>
      </c>
      <c r="M110" s="4" t="s">
        <v>69</v>
      </c>
      <c r="N110" s="4">
        <v>0</v>
      </c>
    </row>
    <row r="111" spans="1:14" ht="14.25" customHeight="1" x14ac:dyDescent="0.2">
      <c r="A111" s="4" t="s">
        <v>182</v>
      </c>
      <c r="B111" s="4">
        <v>0</v>
      </c>
      <c r="C111" s="4">
        <v>23</v>
      </c>
      <c r="D111" s="4">
        <v>1.59</v>
      </c>
      <c r="E111" s="4">
        <v>57</v>
      </c>
      <c r="F111" s="7">
        <f t="shared" si="2"/>
        <v>22.546576480360741</v>
      </c>
      <c r="G111" s="4">
        <v>110</v>
      </c>
      <c r="H111" s="4">
        <v>60</v>
      </c>
      <c r="I111" s="4">
        <v>0</v>
      </c>
      <c r="J111" s="4">
        <v>0</v>
      </c>
      <c r="K111" s="4" t="s">
        <v>63</v>
      </c>
      <c r="L111" s="4">
        <v>0</v>
      </c>
      <c r="M111" s="4" t="s">
        <v>311</v>
      </c>
      <c r="N111" s="4">
        <v>1</v>
      </c>
    </row>
    <row r="112" spans="1:14" ht="14.25" customHeight="1" x14ac:dyDescent="0.2">
      <c r="A112" s="4" t="s">
        <v>183</v>
      </c>
      <c r="B112" s="4">
        <v>1</v>
      </c>
      <c r="C112" s="4">
        <v>25</v>
      </c>
      <c r="D112" s="4">
        <v>1.74</v>
      </c>
      <c r="E112" s="4">
        <v>105</v>
      </c>
      <c r="F112" s="7">
        <f t="shared" si="2"/>
        <v>34.68093539437178</v>
      </c>
      <c r="G112" s="4">
        <v>120</v>
      </c>
      <c r="H112" s="4">
        <v>85</v>
      </c>
      <c r="I112" s="4">
        <v>0</v>
      </c>
      <c r="J112" s="4">
        <v>0</v>
      </c>
      <c r="K112" s="4">
        <v>0</v>
      </c>
      <c r="L112" s="4">
        <v>0</v>
      </c>
      <c r="M112" s="4" t="s">
        <v>311</v>
      </c>
      <c r="N112" s="4">
        <v>1</v>
      </c>
    </row>
    <row r="113" spans="1:14" ht="14.25" customHeight="1" x14ac:dyDescent="0.2">
      <c r="A113" s="4" t="s">
        <v>185</v>
      </c>
      <c r="B113" s="4">
        <v>0</v>
      </c>
      <c r="C113" s="4">
        <v>20</v>
      </c>
      <c r="D113" s="4">
        <v>1.72</v>
      </c>
      <c r="E113" s="4">
        <v>65</v>
      </c>
      <c r="F113" s="7">
        <f t="shared" si="2"/>
        <v>21.971335857220122</v>
      </c>
      <c r="G113" s="4">
        <v>110</v>
      </c>
      <c r="H113" s="4">
        <v>80</v>
      </c>
      <c r="I113" s="4">
        <v>0</v>
      </c>
      <c r="J113" s="4">
        <v>0</v>
      </c>
      <c r="K113" s="4" t="s">
        <v>59</v>
      </c>
      <c r="L113" s="4">
        <v>0</v>
      </c>
      <c r="M113" s="4" t="s">
        <v>148</v>
      </c>
      <c r="N113" s="4">
        <v>3</v>
      </c>
    </row>
    <row r="114" spans="1:14" ht="14.25" customHeight="1" x14ac:dyDescent="0.2">
      <c r="A114" s="4" t="s">
        <v>186</v>
      </c>
      <c r="B114" s="4">
        <v>1</v>
      </c>
      <c r="C114" s="4">
        <v>22</v>
      </c>
      <c r="D114" s="4">
        <v>1.75</v>
      </c>
      <c r="E114" s="4">
        <v>73</v>
      </c>
      <c r="F114" s="7">
        <f t="shared" si="2"/>
        <v>23.836734693877553</v>
      </c>
      <c r="G114" s="4">
        <v>110</v>
      </c>
      <c r="H114" s="4">
        <v>80</v>
      </c>
      <c r="I114" s="4">
        <v>0</v>
      </c>
      <c r="J114" s="4">
        <v>0</v>
      </c>
      <c r="K114" s="4" t="s">
        <v>187</v>
      </c>
      <c r="L114" s="4">
        <v>0</v>
      </c>
      <c r="M114" s="4" t="s">
        <v>311</v>
      </c>
      <c r="N114" s="4">
        <v>1</v>
      </c>
    </row>
    <row r="115" spans="1:14" ht="14.25" customHeight="1" x14ac:dyDescent="0.2">
      <c r="A115" s="4" t="s">
        <v>189</v>
      </c>
      <c r="B115" s="4">
        <v>0</v>
      </c>
      <c r="C115" s="4">
        <v>38</v>
      </c>
      <c r="D115" s="4">
        <v>1.62</v>
      </c>
      <c r="E115" s="4">
        <v>63</v>
      </c>
      <c r="F115" s="7">
        <f t="shared" si="2"/>
        <v>24.005486968449926</v>
      </c>
      <c r="G115" s="4">
        <v>100</v>
      </c>
      <c r="H115" s="4">
        <v>60</v>
      </c>
      <c r="I115" s="4">
        <v>0</v>
      </c>
      <c r="J115" s="4">
        <v>0</v>
      </c>
      <c r="K115" s="4">
        <v>0</v>
      </c>
      <c r="L115" s="4">
        <v>0</v>
      </c>
      <c r="M115" s="4" t="s">
        <v>148</v>
      </c>
      <c r="N115" s="4">
        <v>3</v>
      </c>
    </row>
    <row r="116" spans="1:14" ht="14.25" customHeight="1" x14ac:dyDescent="0.2">
      <c r="A116" s="4" t="s">
        <v>190</v>
      </c>
      <c r="B116" s="4">
        <v>0</v>
      </c>
      <c r="C116" s="4">
        <v>61</v>
      </c>
      <c r="D116" s="4">
        <v>1.57</v>
      </c>
      <c r="E116" s="4">
        <v>63</v>
      </c>
      <c r="F116" s="7">
        <f t="shared" si="2"/>
        <v>25.558846200657225</v>
      </c>
      <c r="G116" s="4">
        <v>110</v>
      </c>
      <c r="H116" s="4">
        <v>70</v>
      </c>
      <c r="I116" s="4">
        <v>0</v>
      </c>
      <c r="J116" s="4">
        <v>0</v>
      </c>
      <c r="K116" s="4" t="s">
        <v>191</v>
      </c>
      <c r="L116" s="4">
        <v>0</v>
      </c>
      <c r="M116" s="4" t="s">
        <v>148</v>
      </c>
      <c r="N116" s="4">
        <v>3</v>
      </c>
    </row>
    <row r="117" spans="1:14" ht="14.25" customHeight="1" x14ac:dyDescent="0.2">
      <c r="A117" s="4" t="s">
        <v>192</v>
      </c>
      <c r="B117" s="4">
        <v>0</v>
      </c>
      <c r="C117" s="4">
        <v>50</v>
      </c>
      <c r="D117" s="4">
        <v>1.66</v>
      </c>
      <c r="E117" s="4">
        <v>60</v>
      </c>
      <c r="F117" s="7">
        <f t="shared" si="2"/>
        <v>21.773842357381334</v>
      </c>
      <c r="G117" s="4">
        <v>120</v>
      </c>
      <c r="H117" s="4">
        <v>80</v>
      </c>
      <c r="I117" s="4">
        <v>0</v>
      </c>
      <c r="J117" s="4">
        <v>0</v>
      </c>
      <c r="K117" s="4" t="s">
        <v>59</v>
      </c>
      <c r="L117" s="4">
        <v>0</v>
      </c>
      <c r="M117" s="4" t="s">
        <v>69</v>
      </c>
      <c r="N117" s="4">
        <v>0</v>
      </c>
    </row>
    <row r="118" spans="1:14" ht="14.25" customHeight="1" x14ac:dyDescent="0.2">
      <c r="A118" s="4" t="s">
        <v>194</v>
      </c>
      <c r="B118" s="4">
        <v>0</v>
      </c>
      <c r="C118" s="4">
        <v>30</v>
      </c>
      <c r="D118" s="4">
        <v>1.64</v>
      </c>
      <c r="E118" s="4">
        <v>50</v>
      </c>
      <c r="F118" s="7">
        <f t="shared" si="2"/>
        <v>18.590124925639504</v>
      </c>
      <c r="G118" s="4">
        <v>110</v>
      </c>
      <c r="H118" s="4">
        <v>80</v>
      </c>
      <c r="I118" s="4">
        <v>0</v>
      </c>
      <c r="J118" s="4">
        <v>0</v>
      </c>
      <c r="K118" s="4" t="s">
        <v>63</v>
      </c>
      <c r="L118" s="4">
        <v>0</v>
      </c>
      <c r="M118" s="4" t="s">
        <v>69</v>
      </c>
      <c r="N118" s="4">
        <v>0</v>
      </c>
    </row>
    <row r="119" spans="1:14" ht="14.25" customHeight="1" x14ac:dyDescent="0.2">
      <c r="A119" s="4" t="s">
        <v>195</v>
      </c>
      <c r="B119" s="4">
        <v>0</v>
      </c>
      <c r="C119" s="4">
        <v>29</v>
      </c>
      <c r="D119" s="4">
        <v>1.57</v>
      </c>
      <c r="E119" s="4">
        <v>53</v>
      </c>
      <c r="F119" s="7">
        <f t="shared" si="2"/>
        <v>21.501886486267189</v>
      </c>
      <c r="G119" s="4">
        <v>120</v>
      </c>
      <c r="H119" s="4">
        <v>70</v>
      </c>
      <c r="I119" s="4">
        <v>0</v>
      </c>
      <c r="J119" s="4">
        <v>0</v>
      </c>
      <c r="K119" s="4" t="s">
        <v>63</v>
      </c>
      <c r="L119" s="4">
        <v>0</v>
      </c>
      <c r="M119" s="4" t="s">
        <v>148</v>
      </c>
      <c r="N119" s="4">
        <v>3</v>
      </c>
    </row>
    <row r="120" spans="1:14" ht="14.25" customHeight="1" x14ac:dyDescent="0.2">
      <c r="A120" s="4" t="s">
        <v>196</v>
      </c>
      <c r="B120" s="4">
        <v>0</v>
      </c>
      <c r="C120" s="4">
        <v>26</v>
      </c>
      <c r="D120" s="4">
        <v>1.68</v>
      </c>
      <c r="E120" s="4">
        <v>55</v>
      </c>
      <c r="F120" s="7">
        <f t="shared" si="2"/>
        <v>19.486961451247168</v>
      </c>
      <c r="G120" s="4">
        <v>110</v>
      </c>
      <c r="H120" s="4">
        <v>70</v>
      </c>
      <c r="I120" s="4">
        <v>0</v>
      </c>
      <c r="J120" s="4">
        <v>0</v>
      </c>
      <c r="K120" s="4" t="s">
        <v>63</v>
      </c>
      <c r="L120" s="4">
        <v>0</v>
      </c>
      <c r="M120" s="4" t="s">
        <v>148</v>
      </c>
      <c r="N120" s="4">
        <v>3</v>
      </c>
    </row>
    <row r="121" spans="1:14" ht="14.25" customHeight="1" x14ac:dyDescent="0.2">
      <c r="A121" s="4" t="s">
        <v>197</v>
      </c>
      <c r="B121" s="4">
        <v>0</v>
      </c>
      <c r="C121" s="4">
        <v>28</v>
      </c>
      <c r="D121" s="4">
        <v>1.62</v>
      </c>
      <c r="E121" s="4">
        <v>90</v>
      </c>
      <c r="F121" s="7">
        <f t="shared" si="2"/>
        <v>34.293552812071326</v>
      </c>
      <c r="G121" s="4">
        <v>110</v>
      </c>
      <c r="H121" s="4">
        <v>90</v>
      </c>
      <c r="I121" s="4">
        <v>0</v>
      </c>
      <c r="J121" s="4">
        <v>0</v>
      </c>
      <c r="K121" s="4">
        <v>0</v>
      </c>
      <c r="L121" s="4">
        <v>0</v>
      </c>
      <c r="M121" s="4" t="s">
        <v>310</v>
      </c>
      <c r="N121" s="4">
        <v>2</v>
      </c>
    </row>
    <row r="122" spans="1:14" ht="14.25" customHeight="1" x14ac:dyDescent="0.2">
      <c r="A122" s="4" t="s">
        <v>198</v>
      </c>
      <c r="B122" s="4">
        <v>0</v>
      </c>
      <c r="C122" s="4">
        <v>36</v>
      </c>
      <c r="D122" s="4">
        <v>1.69</v>
      </c>
      <c r="E122" s="4">
        <v>63</v>
      </c>
      <c r="F122" s="7">
        <f t="shared" si="2"/>
        <v>22.058051188683873</v>
      </c>
      <c r="G122" s="4">
        <v>110</v>
      </c>
      <c r="H122" s="4">
        <v>90</v>
      </c>
      <c r="I122" s="4">
        <v>0</v>
      </c>
      <c r="J122" s="4">
        <v>0</v>
      </c>
      <c r="K122" s="4" t="s">
        <v>199</v>
      </c>
      <c r="L122" s="4">
        <v>0</v>
      </c>
      <c r="M122" s="4" t="s">
        <v>310</v>
      </c>
      <c r="N122" s="4">
        <v>2</v>
      </c>
    </row>
    <row r="123" spans="1:14" ht="14.25" customHeight="1" x14ac:dyDescent="0.2">
      <c r="A123" s="4" t="s">
        <v>200</v>
      </c>
      <c r="B123" s="4">
        <v>0</v>
      </c>
      <c r="C123" s="4">
        <v>23</v>
      </c>
      <c r="D123" s="4">
        <v>1.63</v>
      </c>
      <c r="E123" s="4">
        <v>53</v>
      </c>
      <c r="F123" s="7">
        <f t="shared" si="2"/>
        <v>19.948059768903612</v>
      </c>
      <c r="G123" s="4">
        <v>120</v>
      </c>
      <c r="H123" s="4">
        <v>80</v>
      </c>
      <c r="I123" s="4">
        <v>0</v>
      </c>
      <c r="J123" s="4">
        <v>0</v>
      </c>
      <c r="K123" s="4" t="s">
        <v>240</v>
      </c>
      <c r="L123" s="4">
        <v>0</v>
      </c>
      <c r="M123" s="4" t="s">
        <v>310</v>
      </c>
      <c r="N123" s="4">
        <v>2</v>
      </c>
    </row>
    <row r="124" spans="1:14" ht="14.25" customHeight="1" x14ac:dyDescent="0.2">
      <c r="A124" s="4" t="s">
        <v>201</v>
      </c>
      <c r="B124" s="4">
        <v>0</v>
      </c>
      <c r="C124" s="4">
        <v>27</v>
      </c>
      <c r="D124" s="4">
        <v>1.59</v>
      </c>
      <c r="E124" s="4">
        <v>62</v>
      </c>
      <c r="F124" s="7">
        <f t="shared" si="2"/>
        <v>24.524346347059055</v>
      </c>
      <c r="G124" s="4">
        <v>120</v>
      </c>
      <c r="H124" s="4">
        <v>80</v>
      </c>
      <c r="I124" s="4">
        <v>0</v>
      </c>
      <c r="J124" s="4">
        <v>0</v>
      </c>
      <c r="K124" s="4">
        <v>0</v>
      </c>
      <c r="L124" s="4">
        <v>0</v>
      </c>
      <c r="M124" s="4" t="s">
        <v>310</v>
      </c>
      <c r="N124" s="4">
        <v>2</v>
      </c>
    </row>
    <row r="125" spans="1:14" ht="14.25" customHeight="1" x14ac:dyDescent="0.2">
      <c r="A125" s="4" t="s">
        <v>203</v>
      </c>
      <c r="B125" s="4">
        <v>1</v>
      </c>
      <c r="C125" s="4">
        <v>28</v>
      </c>
      <c r="D125" s="4">
        <v>1.79</v>
      </c>
      <c r="E125" s="4">
        <v>87</v>
      </c>
      <c r="F125" s="7">
        <f t="shared" si="2"/>
        <v>27.152710589557131</v>
      </c>
      <c r="G125" s="4">
        <v>120</v>
      </c>
      <c r="H125" s="4">
        <v>80</v>
      </c>
      <c r="I125" s="4">
        <v>0</v>
      </c>
      <c r="J125" s="4">
        <v>0</v>
      </c>
      <c r="K125" s="4">
        <v>0</v>
      </c>
      <c r="L125" s="4">
        <v>0</v>
      </c>
      <c r="M125" s="4" t="s">
        <v>69</v>
      </c>
      <c r="N125" s="4">
        <v>0</v>
      </c>
    </row>
    <row r="126" spans="1:14" ht="14.25" customHeight="1" x14ac:dyDescent="0.2">
      <c r="A126" s="4" t="s">
        <v>204</v>
      </c>
      <c r="B126" s="4">
        <v>0</v>
      </c>
      <c r="C126" s="4">
        <v>33</v>
      </c>
      <c r="D126" s="4">
        <v>1.56</v>
      </c>
      <c r="E126" s="4">
        <v>68</v>
      </c>
      <c r="F126" s="7">
        <f t="shared" si="2"/>
        <v>27.94214332675871</v>
      </c>
      <c r="G126" s="4">
        <v>110</v>
      </c>
      <c r="H126" s="4">
        <v>80</v>
      </c>
      <c r="I126" s="4">
        <v>0</v>
      </c>
      <c r="J126" s="4">
        <v>0</v>
      </c>
      <c r="K126" s="4" t="s">
        <v>63</v>
      </c>
      <c r="L126" s="4">
        <v>0</v>
      </c>
      <c r="M126" s="4" t="s">
        <v>310</v>
      </c>
      <c r="N126" s="4">
        <v>2</v>
      </c>
    </row>
    <row r="127" spans="1:14" ht="14.25" customHeight="1" x14ac:dyDescent="0.2">
      <c r="A127" s="4" t="s">
        <v>205</v>
      </c>
      <c r="B127" s="4">
        <v>0</v>
      </c>
      <c r="C127" s="4">
        <v>25</v>
      </c>
      <c r="D127" s="4">
        <v>1.68</v>
      </c>
      <c r="E127" s="4">
        <v>98</v>
      </c>
      <c r="F127" s="7">
        <f t="shared" si="2"/>
        <v>34.722222222222229</v>
      </c>
      <c r="G127" s="4">
        <v>110</v>
      </c>
      <c r="H127" s="4">
        <v>70</v>
      </c>
      <c r="I127" s="4">
        <v>0</v>
      </c>
      <c r="J127" s="4">
        <v>0</v>
      </c>
      <c r="K127" s="4">
        <v>0</v>
      </c>
      <c r="L127" s="4">
        <v>0</v>
      </c>
      <c r="M127" s="4" t="s">
        <v>148</v>
      </c>
      <c r="N127" s="4">
        <v>3</v>
      </c>
    </row>
    <row r="128" spans="1:14" ht="14.25" customHeight="1" x14ac:dyDescent="0.2">
      <c r="A128" s="4" t="s">
        <v>206</v>
      </c>
      <c r="B128" s="4">
        <v>1</v>
      </c>
      <c r="C128" s="4">
        <v>22</v>
      </c>
      <c r="D128" s="4">
        <v>1.81</v>
      </c>
      <c r="E128" s="4">
        <v>99</v>
      </c>
      <c r="F128" s="7">
        <f t="shared" si="2"/>
        <v>30.218857788223804</v>
      </c>
      <c r="G128" s="4">
        <v>120</v>
      </c>
      <c r="H128" s="4">
        <v>80</v>
      </c>
      <c r="I128" s="4">
        <v>0</v>
      </c>
      <c r="J128" s="4">
        <v>0</v>
      </c>
      <c r="K128" s="4">
        <v>0</v>
      </c>
      <c r="L128" s="4">
        <v>0</v>
      </c>
      <c r="M128" s="4" t="s">
        <v>148</v>
      </c>
      <c r="N128" s="4">
        <v>3</v>
      </c>
    </row>
    <row r="129" spans="1:14" ht="14.25" customHeight="1" x14ac:dyDescent="0.2">
      <c r="A129" s="4" t="s">
        <v>208</v>
      </c>
      <c r="B129" s="4">
        <v>0</v>
      </c>
      <c r="C129" s="4">
        <v>22</v>
      </c>
      <c r="D129" s="4">
        <v>1.79</v>
      </c>
      <c r="E129" s="4">
        <v>66</v>
      </c>
      <c r="F129" s="7">
        <f t="shared" si="2"/>
        <v>20.598608033457133</v>
      </c>
      <c r="G129" s="4">
        <v>110</v>
      </c>
      <c r="H129" s="4">
        <v>80</v>
      </c>
      <c r="I129" s="4">
        <v>0</v>
      </c>
      <c r="J129" s="4">
        <v>0</v>
      </c>
      <c r="K129" s="4" t="s">
        <v>63</v>
      </c>
      <c r="L129" s="4">
        <v>0</v>
      </c>
      <c r="M129" s="4" t="s">
        <v>69</v>
      </c>
      <c r="N129" s="4">
        <v>0</v>
      </c>
    </row>
    <row r="130" spans="1:14" ht="14.25" customHeight="1" x14ac:dyDescent="0.2">
      <c r="A130" s="4" t="s">
        <v>210</v>
      </c>
      <c r="B130" s="4">
        <v>0</v>
      </c>
      <c r="C130" s="4">
        <v>21</v>
      </c>
      <c r="D130" s="4">
        <v>1.7</v>
      </c>
      <c r="E130" s="4">
        <v>66</v>
      </c>
      <c r="F130" s="7">
        <f t="shared" si="2"/>
        <v>22.837370242214536</v>
      </c>
      <c r="G130" s="4">
        <v>120</v>
      </c>
      <c r="H130" s="4">
        <v>80</v>
      </c>
      <c r="I130" s="4">
        <v>0</v>
      </c>
      <c r="J130" s="4">
        <v>0</v>
      </c>
      <c r="K130" s="4" t="s">
        <v>63</v>
      </c>
      <c r="L130" s="4">
        <v>0</v>
      </c>
      <c r="M130" s="4" t="s">
        <v>69</v>
      </c>
      <c r="N130" s="4">
        <v>0</v>
      </c>
    </row>
    <row r="131" spans="1:14" ht="14.25" customHeight="1" x14ac:dyDescent="0.2">
      <c r="A131" s="4" t="s">
        <v>211</v>
      </c>
      <c r="B131" s="4">
        <v>0</v>
      </c>
      <c r="C131" s="4">
        <v>20</v>
      </c>
      <c r="D131" s="4">
        <v>1.65</v>
      </c>
      <c r="E131" s="4">
        <v>49</v>
      </c>
      <c r="F131" s="7">
        <f t="shared" si="2"/>
        <v>17.998163452708908</v>
      </c>
      <c r="G131" s="4">
        <v>90</v>
      </c>
      <c r="H131" s="4">
        <v>60</v>
      </c>
      <c r="I131" s="4">
        <v>0</v>
      </c>
      <c r="J131" s="4">
        <v>0</v>
      </c>
      <c r="K131" s="4">
        <v>0</v>
      </c>
      <c r="L131" s="4">
        <v>0</v>
      </c>
      <c r="M131" s="4" t="s">
        <v>69</v>
      </c>
      <c r="N131" s="4">
        <v>0</v>
      </c>
    </row>
    <row r="132" spans="1:14" ht="14.25" customHeight="1" x14ac:dyDescent="0.2">
      <c r="A132" s="4" t="s">
        <v>213</v>
      </c>
      <c r="B132" s="4">
        <v>0</v>
      </c>
      <c r="C132" s="4">
        <v>24</v>
      </c>
      <c r="D132" s="4">
        <v>1.63</v>
      </c>
      <c r="E132" s="4">
        <v>47</v>
      </c>
      <c r="F132" s="7">
        <f t="shared" si="2"/>
        <v>17.689788851669238</v>
      </c>
      <c r="G132" s="4">
        <v>120</v>
      </c>
      <c r="H132" s="4">
        <v>80</v>
      </c>
      <c r="I132" s="4">
        <v>0</v>
      </c>
      <c r="J132" s="4">
        <v>0</v>
      </c>
      <c r="K132" s="4">
        <v>0</v>
      </c>
      <c r="L132" s="4">
        <v>0</v>
      </c>
      <c r="M132" s="4" t="s">
        <v>69</v>
      </c>
      <c r="N132" s="4">
        <v>0</v>
      </c>
    </row>
    <row r="133" spans="1:14" ht="14.25" customHeight="1" x14ac:dyDescent="0.2">
      <c r="A133" s="4" t="s">
        <v>216</v>
      </c>
      <c r="B133" s="4">
        <v>1</v>
      </c>
      <c r="C133" s="4">
        <v>31</v>
      </c>
      <c r="D133" s="4">
        <v>1.76</v>
      </c>
      <c r="E133" s="4">
        <v>78</v>
      </c>
      <c r="F133" s="7">
        <f t="shared" si="2"/>
        <v>25.180785123966942</v>
      </c>
      <c r="G133" s="4">
        <v>120</v>
      </c>
      <c r="H133" s="4">
        <v>80</v>
      </c>
      <c r="I133" s="4">
        <v>0</v>
      </c>
      <c r="J133" s="4">
        <v>0</v>
      </c>
      <c r="K133" s="4">
        <v>0</v>
      </c>
      <c r="L133" s="4">
        <v>0</v>
      </c>
      <c r="M133" s="4" t="s">
        <v>148</v>
      </c>
      <c r="N133" s="4">
        <v>3</v>
      </c>
    </row>
    <row r="134" spans="1:14" ht="14.25" customHeight="1" x14ac:dyDescent="0.2">
      <c r="A134" s="4" t="s">
        <v>217</v>
      </c>
      <c r="B134" s="4">
        <v>0</v>
      </c>
      <c r="C134" s="4">
        <v>25</v>
      </c>
      <c r="D134" s="4">
        <v>1.56</v>
      </c>
      <c r="E134" s="4">
        <v>57</v>
      </c>
      <c r="F134" s="7">
        <f t="shared" si="2"/>
        <v>23.422090729783037</v>
      </c>
      <c r="G134" s="4">
        <v>110</v>
      </c>
      <c r="H134" s="4">
        <v>70</v>
      </c>
      <c r="I134" s="4">
        <v>0</v>
      </c>
      <c r="J134" s="4">
        <v>0</v>
      </c>
      <c r="K134" s="4">
        <v>0</v>
      </c>
      <c r="L134" s="4">
        <v>0</v>
      </c>
      <c r="M134" s="4" t="s">
        <v>310</v>
      </c>
      <c r="N134" s="4">
        <v>2</v>
      </c>
    </row>
    <row r="135" spans="1:14" ht="14.25" customHeight="1" x14ac:dyDescent="0.2">
      <c r="A135" s="4" t="s">
        <v>219</v>
      </c>
      <c r="B135" s="4">
        <v>0</v>
      </c>
      <c r="C135" s="4">
        <v>36</v>
      </c>
      <c r="D135" s="4">
        <v>1.63</v>
      </c>
      <c r="E135" s="4">
        <v>68</v>
      </c>
      <c r="F135" s="7">
        <f t="shared" si="2"/>
        <v>25.59373706198954</v>
      </c>
      <c r="G135" s="4">
        <v>100</v>
      </c>
      <c r="H135" s="4">
        <v>60</v>
      </c>
      <c r="I135" s="4">
        <v>0</v>
      </c>
      <c r="J135" s="4">
        <v>0</v>
      </c>
      <c r="K135" s="4">
        <v>0</v>
      </c>
      <c r="L135" s="4">
        <v>0</v>
      </c>
      <c r="M135" s="4" t="s">
        <v>148</v>
      </c>
      <c r="N135" s="4">
        <v>3</v>
      </c>
    </row>
    <row r="136" spans="1:14" ht="14.25" customHeight="1" x14ac:dyDescent="0.2">
      <c r="A136" s="4" t="s">
        <v>220</v>
      </c>
      <c r="B136" s="4">
        <v>1</v>
      </c>
      <c r="C136" s="4">
        <v>22</v>
      </c>
      <c r="D136" s="4">
        <v>1.72</v>
      </c>
      <c r="E136" s="4">
        <v>80</v>
      </c>
      <c r="F136" s="7">
        <f t="shared" si="2"/>
        <v>27.041644131963228</v>
      </c>
      <c r="G136" s="4">
        <v>120</v>
      </c>
      <c r="H136" s="4">
        <v>80</v>
      </c>
      <c r="I136" s="4">
        <v>0</v>
      </c>
      <c r="J136" s="4">
        <v>0</v>
      </c>
      <c r="K136" s="4" t="s">
        <v>123</v>
      </c>
      <c r="L136" s="4">
        <v>0</v>
      </c>
      <c r="M136" s="4" t="s">
        <v>69</v>
      </c>
      <c r="N136" s="4">
        <v>0</v>
      </c>
    </row>
    <row r="137" spans="1:14" ht="14.25" customHeight="1" x14ac:dyDescent="0.2">
      <c r="A137" s="4" t="s">
        <v>221</v>
      </c>
      <c r="B137" s="4">
        <v>0</v>
      </c>
      <c r="C137" s="4">
        <v>31</v>
      </c>
      <c r="D137" s="4">
        <v>1.59</v>
      </c>
      <c r="E137" s="4">
        <v>53</v>
      </c>
      <c r="F137" s="7">
        <f t="shared" si="2"/>
        <v>20.964360587002094</v>
      </c>
      <c r="G137" s="4">
        <v>110</v>
      </c>
      <c r="H137" s="4">
        <v>80</v>
      </c>
      <c r="I137" s="4">
        <v>0</v>
      </c>
      <c r="J137" s="4">
        <v>0</v>
      </c>
      <c r="K137" s="4">
        <v>0</v>
      </c>
      <c r="L137" s="4">
        <v>0</v>
      </c>
      <c r="M137" s="4" t="s">
        <v>311</v>
      </c>
      <c r="N137" s="4">
        <v>1</v>
      </c>
    </row>
    <row r="138" spans="1:14" ht="14.25" customHeight="1" x14ac:dyDescent="0.2">
      <c r="A138" s="4" t="s">
        <v>223</v>
      </c>
      <c r="B138" s="4">
        <v>0</v>
      </c>
      <c r="C138" s="4">
        <v>29</v>
      </c>
      <c r="D138" s="4">
        <v>1.58</v>
      </c>
      <c r="E138" s="4">
        <v>68</v>
      </c>
      <c r="F138" s="7">
        <f t="shared" si="2"/>
        <v>27.239224483255885</v>
      </c>
      <c r="G138" s="4">
        <v>120</v>
      </c>
      <c r="H138" s="4">
        <v>80</v>
      </c>
      <c r="I138" s="4">
        <v>0</v>
      </c>
      <c r="J138" s="4">
        <v>0</v>
      </c>
      <c r="K138" s="4">
        <v>0</v>
      </c>
      <c r="L138" s="4">
        <v>0</v>
      </c>
      <c r="M138" s="4" t="s">
        <v>69</v>
      </c>
      <c r="N138" s="4">
        <v>0</v>
      </c>
    </row>
    <row r="139" spans="1:14" ht="14.25" customHeight="1" x14ac:dyDescent="0.2">
      <c r="A139" s="4" t="s">
        <v>225</v>
      </c>
      <c r="B139" s="4">
        <v>1</v>
      </c>
      <c r="C139" s="4">
        <v>29</v>
      </c>
      <c r="D139" s="4">
        <v>1.75</v>
      </c>
      <c r="E139" s="4">
        <v>85</v>
      </c>
      <c r="F139" s="7">
        <f t="shared" si="2"/>
        <v>27.755102040816325</v>
      </c>
      <c r="G139" s="4">
        <v>120</v>
      </c>
      <c r="H139" s="4">
        <v>80</v>
      </c>
      <c r="I139" s="4">
        <v>0</v>
      </c>
      <c r="J139" s="4">
        <v>0</v>
      </c>
      <c r="K139" s="4">
        <v>0</v>
      </c>
      <c r="L139" s="4">
        <v>0</v>
      </c>
      <c r="M139" s="4" t="s">
        <v>310</v>
      </c>
      <c r="N139" s="4">
        <v>2</v>
      </c>
    </row>
    <row r="140" spans="1:14" ht="14.25" customHeight="1" x14ac:dyDescent="0.2">
      <c r="A140" s="4" t="s">
        <v>226</v>
      </c>
      <c r="B140" s="4">
        <v>0</v>
      </c>
      <c r="C140" s="4">
        <v>24</v>
      </c>
      <c r="D140" s="4">
        <v>1.66</v>
      </c>
      <c r="E140" s="4">
        <v>59</v>
      </c>
      <c r="F140" s="7">
        <f t="shared" si="2"/>
        <v>21.410944984758313</v>
      </c>
      <c r="G140" s="4">
        <v>120</v>
      </c>
      <c r="H140" s="4">
        <v>70</v>
      </c>
      <c r="I140" s="4">
        <v>0</v>
      </c>
      <c r="J140" s="4">
        <v>0</v>
      </c>
      <c r="K140" s="4" t="s">
        <v>227</v>
      </c>
      <c r="L140" s="4">
        <v>0</v>
      </c>
      <c r="M140" s="4" t="s">
        <v>310</v>
      </c>
      <c r="N140" s="4">
        <v>2</v>
      </c>
    </row>
    <row r="141" spans="1:14" ht="14.25" customHeight="1" x14ac:dyDescent="0.2">
      <c r="A141" s="4" t="s">
        <v>229</v>
      </c>
      <c r="B141" s="4">
        <v>0</v>
      </c>
      <c r="C141" s="4">
        <v>25</v>
      </c>
      <c r="D141" s="4">
        <v>1.67</v>
      </c>
      <c r="E141" s="4">
        <v>60</v>
      </c>
      <c r="F141" s="7">
        <f t="shared" si="2"/>
        <v>21.513858510523864</v>
      </c>
      <c r="G141" s="4">
        <v>120</v>
      </c>
      <c r="H141" s="4">
        <v>90</v>
      </c>
      <c r="I141" s="4">
        <v>0</v>
      </c>
      <c r="J141" s="4">
        <v>0</v>
      </c>
      <c r="K141" s="4">
        <v>0</v>
      </c>
      <c r="L141" s="4">
        <v>0</v>
      </c>
      <c r="M141" s="4" t="s">
        <v>310</v>
      </c>
      <c r="N141" s="4">
        <v>2</v>
      </c>
    </row>
    <row r="142" spans="1:14" ht="14.25" customHeight="1" x14ac:dyDescent="0.2">
      <c r="A142" s="4" t="s">
        <v>231</v>
      </c>
      <c r="B142" s="4">
        <v>1</v>
      </c>
      <c r="C142" s="4">
        <v>24</v>
      </c>
      <c r="D142" s="4">
        <v>1.8</v>
      </c>
      <c r="E142" s="4">
        <v>76</v>
      </c>
      <c r="F142" s="7">
        <f t="shared" si="2"/>
        <v>23.456790123456788</v>
      </c>
      <c r="G142" s="4">
        <v>110</v>
      </c>
      <c r="H142" s="4">
        <v>70</v>
      </c>
      <c r="I142" s="4">
        <v>0</v>
      </c>
      <c r="J142" s="4">
        <v>0</v>
      </c>
      <c r="K142" s="4">
        <v>0</v>
      </c>
      <c r="L142" s="4">
        <v>0</v>
      </c>
      <c r="M142" s="4" t="s">
        <v>310</v>
      </c>
      <c r="N142" s="4">
        <v>2</v>
      </c>
    </row>
    <row r="143" spans="1:14" ht="14.25" customHeight="1" x14ac:dyDescent="0.2">
      <c r="A143" s="4" t="s">
        <v>233</v>
      </c>
      <c r="B143" s="4">
        <v>0</v>
      </c>
      <c r="C143" s="4">
        <v>21</v>
      </c>
      <c r="D143" s="4">
        <v>1.71</v>
      </c>
      <c r="E143" s="4">
        <v>84</v>
      </c>
      <c r="F143" s="7">
        <f t="shared" si="2"/>
        <v>28.726787729557817</v>
      </c>
      <c r="G143" s="4">
        <v>130</v>
      </c>
      <c r="H143" s="4">
        <v>90</v>
      </c>
      <c r="I143" s="4">
        <v>0</v>
      </c>
      <c r="J143" s="4">
        <v>0</v>
      </c>
      <c r="K143" s="4" t="s">
        <v>234</v>
      </c>
      <c r="L143" s="4">
        <v>0</v>
      </c>
      <c r="M143" s="4" t="s">
        <v>311</v>
      </c>
      <c r="N143" s="4">
        <v>1</v>
      </c>
    </row>
    <row r="144" spans="1:14" ht="14.25" customHeight="1" x14ac:dyDescent="0.2">
      <c r="A144" s="4" t="s">
        <v>235</v>
      </c>
      <c r="B144" s="4">
        <v>1</v>
      </c>
      <c r="C144" s="4">
        <v>23</v>
      </c>
      <c r="D144" s="4">
        <v>1.7</v>
      </c>
      <c r="E144" s="4">
        <v>70</v>
      </c>
      <c r="F144" s="7">
        <f t="shared" si="2"/>
        <v>24.221453287197235</v>
      </c>
      <c r="G144" s="4">
        <v>120</v>
      </c>
      <c r="H144" s="4">
        <v>80</v>
      </c>
      <c r="I144" s="4">
        <v>0</v>
      </c>
      <c r="J144" s="4">
        <v>0</v>
      </c>
      <c r="K144" s="4">
        <v>0</v>
      </c>
      <c r="L144" s="4">
        <v>0</v>
      </c>
      <c r="M144" s="4" t="s">
        <v>69</v>
      </c>
      <c r="N144" s="4">
        <v>0</v>
      </c>
    </row>
    <row r="145" spans="1:14" customFormat="1" ht="14.25" customHeight="1" x14ac:dyDescent="0.2">
      <c r="A145" t="s">
        <v>236</v>
      </c>
      <c r="B145">
        <v>0</v>
      </c>
      <c r="C145">
        <v>26</v>
      </c>
      <c r="D145">
        <v>1.57</v>
      </c>
      <c r="E145">
        <v>50</v>
      </c>
      <c r="F145" s="16">
        <f t="shared" si="2"/>
        <v>20.28479857195018</v>
      </c>
      <c r="G145">
        <v>100</v>
      </c>
      <c r="H145">
        <v>70</v>
      </c>
      <c r="I145">
        <v>0</v>
      </c>
      <c r="J145">
        <v>0</v>
      </c>
      <c r="K145">
        <v>0</v>
      </c>
      <c r="L145">
        <v>0</v>
      </c>
      <c r="M145" t="s">
        <v>310</v>
      </c>
      <c r="N145">
        <v>2</v>
      </c>
    </row>
    <row r="146" spans="1:14" customFormat="1" ht="14.25" customHeight="1" x14ac:dyDescent="0.2">
      <c r="A146" t="s">
        <v>237</v>
      </c>
      <c r="B146">
        <v>0</v>
      </c>
      <c r="C146">
        <v>23</v>
      </c>
      <c r="D146">
        <v>1.65</v>
      </c>
      <c r="E146">
        <v>50</v>
      </c>
      <c r="F146" s="16">
        <f t="shared" si="2"/>
        <v>18.365472910927458</v>
      </c>
      <c r="G146">
        <v>90</v>
      </c>
      <c r="H146">
        <v>60</v>
      </c>
      <c r="I146">
        <v>0</v>
      </c>
      <c r="J146">
        <v>0</v>
      </c>
      <c r="K146">
        <v>0</v>
      </c>
      <c r="L146">
        <v>0</v>
      </c>
      <c r="M146" t="s">
        <v>69</v>
      </c>
      <c r="N146">
        <v>0</v>
      </c>
    </row>
    <row r="147" spans="1:14" customFormat="1" ht="14.25" customHeight="1" x14ac:dyDescent="0.2">
      <c r="A147" t="s">
        <v>239</v>
      </c>
      <c r="B147">
        <v>0</v>
      </c>
      <c r="C147">
        <v>29</v>
      </c>
      <c r="D147">
        <v>1.5</v>
      </c>
      <c r="E147">
        <v>42</v>
      </c>
      <c r="F147" s="16">
        <f t="shared" si="2"/>
        <v>18.666666666666668</v>
      </c>
      <c r="G147">
        <v>100</v>
      </c>
      <c r="H147">
        <v>80</v>
      </c>
      <c r="I147">
        <v>0</v>
      </c>
      <c r="J147">
        <v>0</v>
      </c>
      <c r="K147">
        <v>0</v>
      </c>
      <c r="L147">
        <v>0</v>
      </c>
      <c r="M147" t="s">
        <v>69</v>
      </c>
      <c r="N147">
        <v>0</v>
      </c>
    </row>
    <row r="148" spans="1:14" ht="14.25" customHeight="1" x14ac:dyDescent="0.2">
      <c r="A148" s="4" t="s">
        <v>241</v>
      </c>
      <c r="B148" s="4">
        <v>0</v>
      </c>
      <c r="C148" s="4">
        <v>24</v>
      </c>
      <c r="D148" s="4">
        <v>1.58</v>
      </c>
      <c r="E148" s="4">
        <v>57</v>
      </c>
      <c r="F148" s="7">
        <f t="shared" si="2"/>
        <v>22.832879346258608</v>
      </c>
      <c r="G148" s="4">
        <v>120</v>
      </c>
      <c r="H148" s="4">
        <v>80</v>
      </c>
      <c r="I148" s="4">
        <v>0</v>
      </c>
      <c r="J148" s="4">
        <v>0</v>
      </c>
      <c r="K148" s="4" t="s">
        <v>63</v>
      </c>
      <c r="L148" s="4">
        <v>0</v>
      </c>
      <c r="M148" s="4" t="s">
        <v>148</v>
      </c>
      <c r="N148" s="4">
        <v>3</v>
      </c>
    </row>
    <row r="149" spans="1:14" ht="14.25" customHeight="1" x14ac:dyDescent="0.2">
      <c r="A149" s="4" t="s">
        <v>242</v>
      </c>
      <c r="B149" s="4">
        <v>0</v>
      </c>
      <c r="C149" s="4">
        <v>29</v>
      </c>
      <c r="D149" s="4">
        <v>1.72</v>
      </c>
      <c r="E149" s="4">
        <v>67</v>
      </c>
      <c r="F149" s="7">
        <f t="shared" si="2"/>
        <v>22.647376960519203</v>
      </c>
      <c r="G149" s="4">
        <v>110</v>
      </c>
      <c r="H149" s="4">
        <v>60</v>
      </c>
      <c r="I149" s="4">
        <v>0</v>
      </c>
      <c r="J149" s="4">
        <v>0</v>
      </c>
      <c r="K149" s="4" t="s">
        <v>63</v>
      </c>
      <c r="L149" s="4">
        <v>0</v>
      </c>
      <c r="M149" s="4" t="s">
        <v>69</v>
      </c>
      <c r="N149" s="4">
        <v>0</v>
      </c>
    </row>
    <row r="150" spans="1:14" ht="14.25" customHeight="1" x14ac:dyDescent="0.2">
      <c r="A150" s="4" t="s">
        <v>243</v>
      </c>
      <c r="B150" s="4">
        <v>0</v>
      </c>
      <c r="C150" s="4">
        <v>26</v>
      </c>
      <c r="D150" s="4">
        <v>1.68</v>
      </c>
      <c r="E150" s="4">
        <v>64</v>
      </c>
      <c r="F150" s="7">
        <f t="shared" si="2"/>
        <v>22.67573696145125</v>
      </c>
      <c r="G150" s="4">
        <v>110</v>
      </c>
      <c r="H150" s="4">
        <v>70</v>
      </c>
      <c r="I150" s="4">
        <v>0</v>
      </c>
      <c r="J150" s="4">
        <v>0</v>
      </c>
      <c r="K150" s="4">
        <v>0</v>
      </c>
      <c r="L150" s="4">
        <v>0</v>
      </c>
      <c r="M150" s="4" t="s">
        <v>310</v>
      </c>
      <c r="N150" s="4">
        <v>2</v>
      </c>
    </row>
    <row r="151" spans="1:14" customFormat="1" ht="14.25" customHeight="1" x14ac:dyDescent="0.2">
      <c r="A151" t="s">
        <v>259</v>
      </c>
      <c r="B151">
        <v>1</v>
      </c>
      <c r="C151">
        <v>40</v>
      </c>
      <c r="D151">
        <v>1.8</v>
      </c>
      <c r="E151">
        <v>83</v>
      </c>
      <c r="F151" s="16">
        <f t="shared" si="2"/>
        <v>25.617283950617281</v>
      </c>
      <c r="G151">
        <v>120</v>
      </c>
      <c r="H151">
        <v>80</v>
      </c>
      <c r="I151">
        <v>0</v>
      </c>
      <c r="J151">
        <v>0</v>
      </c>
      <c r="K151">
        <v>0</v>
      </c>
      <c r="L151">
        <v>0</v>
      </c>
      <c r="M151" t="s">
        <v>69</v>
      </c>
      <c r="N151">
        <v>0</v>
      </c>
    </row>
    <row r="152" spans="1:14" customFormat="1" ht="14.25" customHeight="1" x14ac:dyDescent="0.2">
      <c r="A152" t="s">
        <v>258</v>
      </c>
      <c r="B152">
        <v>1</v>
      </c>
      <c r="C152">
        <v>30</v>
      </c>
      <c r="D152">
        <v>1.76</v>
      </c>
      <c r="E152">
        <v>75</v>
      </c>
      <c r="F152" s="16">
        <f t="shared" si="2"/>
        <v>24.212293388429753</v>
      </c>
      <c r="G152">
        <v>120</v>
      </c>
      <c r="H152">
        <v>70</v>
      </c>
      <c r="I152">
        <v>0</v>
      </c>
      <c r="J152">
        <v>0</v>
      </c>
      <c r="K152">
        <v>0</v>
      </c>
      <c r="L152">
        <v>0</v>
      </c>
      <c r="M152" t="s">
        <v>311</v>
      </c>
      <c r="N152">
        <v>1</v>
      </c>
    </row>
    <row r="153" spans="1:14" ht="14.25" customHeight="1" x14ac:dyDescent="0.2">
      <c r="A153" s="4" t="s">
        <v>246</v>
      </c>
      <c r="B153" s="4">
        <v>1</v>
      </c>
      <c r="C153" s="4">
        <v>35</v>
      </c>
      <c r="D153" s="4">
        <v>1.73</v>
      </c>
      <c r="E153" s="4">
        <v>79</v>
      </c>
      <c r="F153" s="7">
        <f t="shared" si="2"/>
        <v>26.395803401383272</v>
      </c>
      <c r="G153" s="4">
        <v>110</v>
      </c>
      <c r="H153" s="4">
        <v>90</v>
      </c>
      <c r="I153" s="4">
        <v>0</v>
      </c>
      <c r="J153" s="4">
        <v>0</v>
      </c>
      <c r="K153" s="4">
        <v>0</v>
      </c>
      <c r="L153" s="4">
        <v>0</v>
      </c>
      <c r="M153" s="4" t="s">
        <v>69</v>
      </c>
      <c r="N153" s="4">
        <v>0</v>
      </c>
    </row>
    <row r="154" spans="1:14" ht="14.25" customHeight="1" x14ac:dyDescent="0.2">
      <c r="A154" s="4" t="s">
        <v>248</v>
      </c>
      <c r="B154" s="4">
        <v>1</v>
      </c>
      <c r="C154" s="4">
        <v>29</v>
      </c>
      <c r="D154" s="4">
        <v>1.78</v>
      </c>
      <c r="E154" s="4">
        <v>85</v>
      </c>
      <c r="F154" s="7">
        <f t="shared" si="2"/>
        <v>26.82742078020452</v>
      </c>
      <c r="G154" s="4">
        <v>120</v>
      </c>
      <c r="H154" s="4">
        <v>80</v>
      </c>
      <c r="I154" s="4">
        <v>0</v>
      </c>
      <c r="J154" s="4">
        <v>0</v>
      </c>
      <c r="K154" s="4">
        <v>0</v>
      </c>
      <c r="L154" s="4">
        <v>0</v>
      </c>
      <c r="M154" s="4" t="s">
        <v>310</v>
      </c>
      <c r="N154" s="4">
        <v>2</v>
      </c>
    </row>
    <row r="155" spans="1:14" ht="14.25" customHeight="1" x14ac:dyDescent="0.2">
      <c r="A155" s="4" t="s">
        <v>249</v>
      </c>
      <c r="B155" s="4">
        <v>0</v>
      </c>
      <c r="C155" s="4">
        <v>62</v>
      </c>
      <c r="D155" s="4">
        <v>1.49</v>
      </c>
      <c r="E155" s="4">
        <v>60</v>
      </c>
      <c r="F155" s="7">
        <f t="shared" si="2"/>
        <v>27.025809648214047</v>
      </c>
      <c r="G155" s="4">
        <v>120</v>
      </c>
      <c r="H155" s="4">
        <v>80</v>
      </c>
      <c r="I155" s="4">
        <v>0</v>
      </c>
      <c r="J155" s="4">
        <v>0</v>
      </c>
      <c r="K155" s="4">
        <v>0</v>
      </c>
      <c r="L155" s="4">
        <v>0</v>
      </c>
      <c r="M155" s="4" t="s">
        <v>148</v>
      </c>
      <c r="N155" s="4">
        <v>3</v>
      </c>
    </row>
    <row r="156" spans="1:14" ht="14.25" customHeight="1" x14ac:dyDescent="0.2">
      <c r="A156" s="4" t="s">
        <v>251</v>
      </c>
      <c r="B156" s="4">
        <v>1</v>
      </c>
      <c r="C156" s="4">
        <v>24</v>
      </c>
      <c r="D156" s="4">
        <v>1.75</v>
      </c>
      <c r="E156" s="4">
        <v>72</v>
      </c>
      <c r="F156" s="7">
        <f t="shared" si="2"/>
        <v>23.510204081632654</v>
      </c>
      <c r="G156" s="4">
        <v>120</v>
      </c>
      <c r="H156" s="4">
        <v>80</v>
      </c>
      <c r="I156" s="4">
        <v>0</v>
      </c>
      <c r="J156" s="4">
        <v>0</v>
      </c>
      <c r="K156" s="4">
        <v>0</v>
      </c>
      <c r="L156" s="4">
        <v>0</v>
      </c>
      <c r="M156" s="4" t="s">
        <v>148</v>
      </c>
      <c r="N156" s="4">
        <v>3</v>
      </c>
    </row>
    <row r="157" spans="1:14" ht="14.25" customHeight="1" x14ac:dyDescent="0.2">
      <c r="A157" s="4" t="s">
        <v>253</v>
      </c>
      <c r="B157" s="4">
        <v>1</v>
      </c>
      <c r="C157" s="4">
        <v>25</v>
      </c>
      <c r="D157" s="4">
        <v>1.78</v>
      </c>
      <c r="E157" s="4">
        <v>77</v>
      </c>
      <c r="F157" s="7">
        <f t="shared" si="2"/>
        <v>24.302487059714682</v>
      </c>
      <c r="G157" s="4">
        <v>110</v>
      </c>
      <c r="H157" s="4">
        <v>80</v>
      </c>
      <c r="I157" s="4">
        <v>0</v>
      </c>
      <c r="J157" s="4">
        <v>0</v>
      </c>
      <c r="K157" s="4">
        <v>0</v>
      </c>
      <c r="L157" s="4">
        <v>0</v>
      </c>
      <c r="M157" s="4" t="s">
        <v>310</v>
      </c>
      <c r="N157" s="4">
        <v>2</v>
      </c>
    </row>
    <row r="158" spans="1:14" ht="14.25" customHeight="1" x14ac:dyDescent="0.2">
      <c r="A158" s="4" t="s">
        <v>254</v>
      </c>
      <c r="B158" s="4">
        <v>0</v>
      </c>
      <c r="C158" s="4">
        <v>66</v>
      </c>
      <c r="D158" s="4">
        <v>1.67</v>
      </c>
      <c r="E158" s="4">
        <v>87</v>
      </c>
      <c r="F158" s="7">
        <f t="shared" si="2"/>
        <v>31.1950948402596</v>
      </c>
      <c r="G158" s="4">
        <v>130</v>
      </c>
      <c r="H158" s="4">
        <v>80</v>
      </c>
      <c r="I158" s="4">
        <v>0</v>
      </c>
      <c r="J158" s="4">
        <v>0</v>
      </c>
      <c r="K158" s="4">
        <v>0</v>
      </c>
      <c r="L158" s="4">
        <v>0</v>
      </c>
      <c r="M158" s="4" t="s">
        <v>310</v>
      </c>
      <c r="N158" s="4">
        <v>2</v>
      </c>
    </row>
    <row r="159" spans="1:14" ht="14.25" customHeight="1" x14ac:dyDescent="0.2">
      <c r="A159" s="4" t="s">
        <v>256</v>
      </c>
      <c r="B159" s="4">
        <v>0</v>
      </c>
      <c r="C159" s="4">
        <v>21</v>
      </c>
      <c r="D159" s="4">
        <v>1.67</v>
      </c>
      <c r="E159" s="4">
        <v>60</v>
      </c>
      <c r="F159" s="7">
        <f t="shared" si="2"/>
        <v>21.513858510523864</v>
      </c>
      <c r="G159" s="4">
        <v>110</v>
      </c>
      <c r="H159" s="4">
        <v>90</v>
      </c>
      <c r="I159" s="4">
        <v>0</v>
      </c>
      <c r="J159" s="4">
        <v>0</v>
      </c>
      <c r="K159" s="4">
        <v>0</v>
      </c>
      <c r="L159" s="4">
        <v>0</v>
      </c>
      <c r="M159" s="4" t="s">
        <v>310</v>
      </c>
      <c r="N159" s="4">
        <v>2</v>
      </c>
    </row>
    <row r="160" spans="1:14" ht="14.25" customHeight="1" x14ac:dyDescent="0.2">
      <c r="A160" s="4" t="s">
        <v>257</v>
      </c>
      <c r="B160" s="4">
        <v>0</v>
      </c>
      <c r="C160" s="4">
        <v>24</v>
      </c>
      <c r="D160" s="4">
        <v>1.69</v>
      </c>
      <c r="E160" s="4">
        <v>58</v>
      </c>
      <c r="F160" s="7">
        <f t="shared" si="2"/>
        <v>20.307412205454995</v>
      </c>
      <c r="G160" s="4">
        <v>120</v>
      </c>
      <c r="H160" s="4">
        <v>80</v>
      </c>
      <c r="I160" s="4">
        <v>0</v>
      </c>
      <c r="J160" s="4">
        <v>0</v>
      </c>
      <c r="K160" s="4">
        <v>0</v>
      </c>
      <c r="L160" s="4">
        <v>0</v>
      </c>
      <c r="M160" s="4" t="s">
        <v>69</v>
      </c>
      <c r="N160" s="4">
        <v>0</v>
      </c>
    </row>
    <row r="161" spans="1:14" ht="14.25" customHeight="1" x14ac:dyDescent="0.2">
      <c r="A161" s="4" t="s">
        <v>260</v>
      </c>
      <c r="B161" s="4">
        <v>0</v>
      </c>
      <c r="C161" s="4">
        <v>22</v>
      </c>
      <c r="D161" s="4">
        <v>1.6</v>
      </c>
      <c r="E161" s="4">
        <v>61</v>
      </c>
      <c r="F161" s="7">
        <f t="shared" si="2"/>
        <v>23.828124999999996</v>
      </c>
      <c r="G161" s="4">
        <v>90</v>
      </c>
      <c r="H161" s="4">
        <v>60</v>
      </c>
      <c r="I161" s="4">
        <v>0</v>
      </c>
      <c r="J161" s="4">
        <v>0</v>
      </c>
      <c r="K161" s="4">
        <v>0</v>
      </c>
      <c r="L161" s="4">
        <v>0</v>
      </c>
      <c r="M161" s="4" t="s">
        <v>69</v>
      </c>
      <c r="N161" s="4">
        <v>0</v>
      </c>
    </row>
    <row r="162" spans="1:14" ht="14.25" customHeight="1" x14ac:dyDescent="0.2">
      <c r="A162" s="4" t="s">
        <v>261</v>
      </c>
      <c r="B162" s="4">
        <v>0</v>
      </c>
      <c r="C162" s="4">
        <v>26</v>
      </c>
      <c r="D162" s="4">
        <v>1.8</v>
      </c>
      <c r="E162" s="4">
        <v>60</v>
      </c>
      <c r="F162" s="7">
        <f t="shared" si="2"/>
        <v>18.518518518518519</v>
      </c>
      <c r="G162" s="4">
        <v>100</v>
      </c>
      <c r="H162" s="4">
        <v>80</v>
      </c>
      <c r="I162" s="4">
        <v>0</v>
      </c>
      <c r="J162" s="4">
        <v>0</v>
      </c>
      <c r="K162" s="4" t="s">
        <v>63</v>
      </c>
      <c r="L162" s="4">
        <v>0</v>
      </c>
      <c r="M162" s="4" t="s">
        <v>148</v>
      </c>
      <c r="N162" s="4">
        <v>3</v>
      </c>
    </row>
    <row r="163" spans="1:14" ht="14.25" customHeight="1" x14ac:dyDescent="0.2">
      <c r="A163" s="4" t="s">
        <v>262</v>
      </c>
      <c r="B163" s="4">
        <v>0</v>
      </c>
      <c r="C163" s="4">
        <v>22</v>
      </c>
      <c r="D163" s="4">
        <v>1.53</v>
      </c>
      <c r="E163" s="4">
        <v>52</v>
      </c>
      <c r="F163" s="7">
        <f t="shared" si="2"/>
        <v>22.213678499722331</v>
      </c>
      <c r="G163" s="4">
        <v>100</v>
      </c>
      <c r="H163" s="4">
        <v>80</v>
      </c>
      <c r="I163" s="4">
        <v>0</v>
      </c>
      <c r="J163" s="4">
        <v>0</v>
      </c>
      <c r="K163" s="4">
        <v>0</v>
      </c>
      <c r="L163" s="4">
        <v>0</v>
      </c>
      <c r="M163" s="4" t="s">
        <v>148</v>
      </c>
      <c r="N163" s="4">
        <v>3</v>
      </c>
    </row>
    <row r="164" spans="1:14" ht="14.25" customHeight="1" x14ac:dyDescent="0.2">
      <c r="A164" s="4" t="s">
        <v>263</v>
      </c>
      <c r="B164" s="4">
        <v>0</v>
      </c>
      <c r="C164" s="4">
        <v>23</v>
      </c>
      <c r="D164" s="4">
        <v>1.53</v>
      </c>
      <c r="E164" s="4">
        <v>53</v>
      </c>
      <c r="F164" s="7">
        <f t="shared" si="2"/>
        <v>22.64086462471699</v>
      </c>
      <c r="G164" s="4">
        <v>120</v>
      </c>
      <c r="H164" s="4">
        <v>80</v>
      </c>
      <c r="I164" s="4">
        <v>0</v>
      </c>
      <c r="J164" s="4">
        <v>0</v>
      </c>
      <c r="K164" s="4">
        <v>0</v>
      </c>
      <c r="L164" s="4">
        <v>0</v>
      </c>
      <c r="M164" s="4" t="s">
        <v>148</v>
      </c>
      <c r="N164" s="4">
        <v>3</v>
      </c>
    </row>
    <row r="165" spans="1:14" ht="14.25" customHeight="1" x14ac:dyDescent="0.2">
      <c r="A165" s="4" t="s">
        <v>264</v>
      </c>
      <c r="B165" s="4">
        <v>1</v>
      </c>
      <c r="C165" s="4">
        <v>24</v>
      </c>
      <c r="D165" s="4">
        <v>1.73</v>
      </c>
      <c r="E165" s="4">
        <v>86</v>
      </c>
      <c r="F165" s="7">
        <f t="shared" si="2"/>
        <v>28.734672057202044</v>
      </c>
      <c r="G165" s="4">
        <v>120</v>
      </c>
      <c r="H165" s="4">
        <v>80</v>
      </c>
      <c r="I165" s="4">
        <v>0</v>
      </c>
      <c r="J165" s="4">
        <v>0</v>
      </c>
      <c r="K165" s="4">
        <v>0</v>
      </c>
      <c r="L165" s="4">
        <v>1</v>
      </c>
      <c r="M165" s="4" t="s">
        <v>148</v>
      </c>
      <c r="N165" s="4">
        <v>3</v>
      </c>
    </row>
    <row r="166" spans="1:14" ht="14.25" customHeight="1" x14ac:dyDescent="0.2">
      <c r="A166" s="4" t="s">
        <v>266</v>
      </c>
      <c r="B166" s="4">
        <v>0</v>
      </c>
      <c r="C166" s="4">
        <v>29</v>
      </c>
      <c r="D166" s="4">
        <v>1.63</v>
      </c>
      <c r="E166" s="4">
        <v>52</v>
      </c>
      <c r="F166" s="7">
        <f t="shared" si="2"/>
        <v>19.571681282697881</v>
      </c>
      <c r="G166" s="4">
        <v>100</v>
      </c>
      <c r="H166" s="4">
        <v>60</v>
      </c>
      <c r="I166" s="4">
        <v>0</v>
      </c>
      <c r="J166" s="4">
        <v>0</v>
      </c>
      <c r="K166" s="4">
        <v>0</v>
      </c>
      <c r="L166" s="4">
        <v>0</v>
      </c>
      <c r="M166" s="4" t="s">
        <v>311</v>
      </c>
      <c r="N166" s="4">
        <v>1</v>
      </c>
    </row>
    <row r="167" spans="1:14" ht="14.25" customHeight="1" x14ac:dyDescent="0.2">
      <c r="A167" s="4" t="s">
        <v>268</v>
      </c>
      <c r="B167" s="4">
        <v>1</v>
      </c>
      <c r="C167" s="4">
        <v>23</v>
      </c>
      <c r="D167" s="4">
        <v>1.77</v>
      </c>
      <c r="E167" s="4">
        <v>78</v>
      </c>
      <c r="F167" s="7">
        <f t="shared" si="2"/>
        <v>24.897060231734173</v>
      </c>
      <c r="G167" s="4">
        <v>120</v>
      </c>
      <c r="H167" s="4">
        <v>60</v>
      </c>
      <c r="I167" s="4">
        <v>0</v>
      </c>
      <c r="J167" s="4">
        <v>0</v>
      </c>
      <c r="K167" s="4">
        <v>0</v>
      </c>
      <c r="L167" s="4">
        <v>0</v>
      </c>
      <c r="M167" s="4" t="s">
        <v>148</v>
      </c>
      <c r="N167" s="4">
        <v>3</v>
      </c>
    </row>
    <row r="168" spans="1:14" ht="14.25" customHeight="1" x14ac:dyDescent="0.2">
      <c r="A168" s="4" t="s">
        <v>269</v>
      </c>
      <c r="B168" s="4">
        <v>0</v>
      </c>
      <c r="C168" s="4">
        <v>30</v>
      </c>
      <c r="D168" s="4">
        <v>1.67</v>
      </c>
      <c r="E168" s="4">
        <v>58</v>
      </c>
      <c r="F168" s="7">
        <f t="shared" si="2"/>
        <v>20.796729893506402</v>
      </c>
      <c r="G168" s="4">
        <v>100</v>
      </c>
      <c r="H168" s="4">
        <v>60</v>
      </c>
      <c r="I168" s="4">
        <v>0</v>
      </c>
      <c r="J168" s="4">
        <v>0</v>
      </c>
      <c r="K168" s="4">
        <v>0</v>
      </c>
      <c r="L168" s="4">
        <v>0</v>
      </c>
      <c r="M168" s="4" t="s">
        <v>148</v>
      </c>
      <c r="N168" s="4">
        <v>3</v>
      </c>
    </row>
    <row r="169" spans="1:14" ht="14.25" customHeight="1" x14ac:dyDescent="0.2">
      <c r="A169" s="4" t="s">
        <v>270</v>
      </c>
      <c r="B169" s="4">
        <v>0</v>
      </c>
      <c r="C169" s="4">
        <v>26</v>
      </c>
      <c r="D169" s="4">
        <v>1.62</v>
      </c>
      <c r="E169" s="4">
        <v>54</v>
      </c>
      <c r="F169" s="7">
        <f t="shared" si="2"/>
        <v>20.576131687242793</v>
      </c>
      <c r="G169" s="4">
        <v>120</v>
      </c>
      <c r="H169" s="4">
        <v>80</v>
      </c>
      <c r="I169" s="4">
        <v>0</v>
      </c>
      <c r="J169" s="4">
        <v>0</v>
      </c>
      <c r="K169" s="4">
        <v>0</v>
      </c>
      <c r="L169" s="4">
        <v>0</v>
      </c>
      <c r="M169" s="4" t="s">
        <v>310</v>
      </c>
      <c r="N169" s="4">
        <v>2</v>
      </c>
    </row>
    <row r="170" spans="1:14" ht="14.25" customHeight="1" x14ac:dyDescent="0.2">
      <c r="A170" s="4" t="s">
        <v>271</v>
      </c>
      <c r="B170" s="4">
        <v>0</v>
      </c>
      <c r="C170" s="4">
        <v>23</v>
      </c>
      <c r="D170" s="4">
        <v>1.52</v>
      </c>
      <c r="E170" s="4">
        <v>60</v>
      </c>
      <c r="F170" s="7">
        <f t="shared" si="2"/>
        <v>25.969529085872576</v>
      </c>
      <c r="G170" s="4">
        <v>110</v>
      </c>
      <c r="H170" s="4">
        <v>70</v>
      </c>
      <c r="I170" s="4">
        <v>0</v>
      </c>
      <c r="J170" s="4">
        <v>0</v>
      </c>
      <c r="K170" s="4">
        <v>0</v>
      </c>
      <c r="L170" s="4">
        <v>0</v>
      </c>
      <c r="M170" s="4" t="s">
        <v>311</v>
      </c>
      <c r="N170" s="4">
        <v>1</v>
      </c>
    </row>
    <row r="171" spans="1:14" ht="14.25" customHeight="1" x14ac:dyDescent="0.2">
      <c r="A171" s="4" t="s">
        <v>273</v>
      </c>
      <c r="B171" s="4">
        <v>0</v>
      </c>
      <c r="C171" s="4">
        <v>22</v>
      </c>
      <c r="D171" s="4">
        <v>1.63</v>
      </c>
      <c r="E171" s="4">
        <v>52</v>
      </c>
      <c r="F171" s="7">
        <f t="shared" si="2"/>
        <v>19.571681282697881</v>
      </c>
      <c r="G171" s="4">
        <v>120</v>
      </c>
      <c r="H171" s="4">
        <v>90</v>
      </c>
      <c r="I171" s="4">
        <v>0</v>
      </c>
      <c r="J171" s="4">
        <v>0</v>
      </c>
      <c r="K171" s="4">
        <v>0</v>
      </c>
      <c r="L171" s="4">
        <v>0</v>
      </c>
      <c r="M171" s="4" t="s">
        <v>69</v>
      </c>
      <c r="N171" s="4">
        <v>0</v>
      </c>
    </row>
    <row r="172" spans="1:14" ht="14.25" customHeight="1" x14ac:dyDescent="0.2">
      <c r="A172" s="4" t="s">
        <v>274</v>
      </c>
      <c r="B172" s="4">
        <v>1</v>
      </c>
      <c r="C172" s="4">
        <v>30</v>
      </c>
      <c r="D172" s="4">
        <v>1.72</v>
      </c>
      <c r="E172" s="4">
        <v>85</v>
      </c>
      <c r="F172" s="7">
        <f t="shared" si="2"/>
        <v>28.731746890210928</v>
      </c>
      <c r="G172" s="4">
        <v>110</v>
      </c>
      <c r="H172" s="4">
        <v>90</v>
      </c>
      <c r="I172" s="4">
        <v>0</v>
      </c>
      <c r="J172" s="4">
        <v>0</v>
      </c>
      <c r="K172" s="4" t="s">
        <v>275</v>
      </c>
      <c r="L172" s="4">
        <v>0</v>
      </c>
      <c r="M172" s="4" t="s">
        <v>148</v>
      </c>
      <c r="N172" s="4">
        <v>3</v>
      </c>
    </row>
    <row r="173" spans="1:14" ht="14.25" customHeight="1" x14ac:dyDescent="0.2">
      <c r="A173" s="4" t="s">
        <v>276</v>
      </c>
      <c r="B173" s="4">
        <v>0</v>
      </c>
      <c r="C173" s="4">
        <v>53</v>
      </c>
      <c r="D173" s="4">
        <v>1.59</v>
      </c>
      <c r="E173" s="4">
        <v>85</v>
      </c>
      <c r="F173" s="7">
        <f t="shared" si="2"/>
        <v>33.622087733871282</v>
      </c>
      <c r="G173" s="4">
        <v>120</v>
      </c>
      <c r="H173" s="4">
        <v>80</v>
      </c>
      <c r="I173" s="4">
        <v>0</v>
      </c>
      <c r="J173" s="4">
        <v>0</v>
      </c>
      <c r="K173" s="4">
        <v>0</v>
      </c>
      <c r="L173" s="4">
        <v>0</v>
      </c>
      <c r="M173" s="4" t="s">
        <v>69</v>
      </c>
      <c r="N173" s="4">
        <v>0</v>
      </c>
    </row>
    <row r="174" spans="1:14" ht="14.25" customHeight="1" x14ac:dyDescent="0.2">
      <c r="A174" s="4" t="s">
        <v>277</v>
      </c>
      <c r="B174" s="4">
        <v>0</v>
      </c>
      <c r="C174" s="4">
        <v>22</v>
      </c>
      <c r="D174" s="4">
        <v>1.56</v>
      </c>
      <c r="E174" s="4">
        <v>63</v>
      </c>
      <c r="F174" s="7">
        <f t="shared" ref="F174:F191" si="3">E174/(D174*D174)</f>
        <v>25.88757396449704</v>
      </c>
      <c r="G174" s="4">
        <v>130</v>
      </c>
      <c r="H174" s="4">
        <v>90</v>
      </c>
      <c r="I174" s="4">
        <v>0</v>
      </c>
      <c r="J174" s="4">
        <v>0</v>
      </c>
      <c r="K174" s="4">
        <v>0</v>
      </c>
      <c r="L174" s="4">
        <v>0</v>
      </c>
      <c r="M174" s="4" t="s">
        <v>310</v>
      </c>
      <c r="N174" s="4">
        <v>2</v>
      </c>
    </row>
    <row r="175" spans="1:14" ht="14.25" customHeight="1" x14ac:dyDescent="0.2">
      <c r="A175" s="4" t="s">
        <v>279</v>
      </c>
      <c r="B175" s="4">
        <v>1</v>
      </c>
      <c r="C175" s="4">
        <v>38</v>
      </c>
      <c r="D175" s="4">
        <v>1.88</v>
      </c>
      <c r="E175" s="4">
        <v>96</v>
      </c>
      <c r="F175" s="7">
        <f t="shared" si="3"/>
        <v>27.16161158895428</v>
      </c>
      <c r="G175" s="4">
        <v>120</v>
      </c>
      <c r="H175" s="4">
        <v>90</v>
      </c>
      <c r="I175" s="4">
        <v>0</v>
      </c>
      <c r="J175" s="4">
        <v>0</v>
      </c>
      <c r="K175" s="4">
        <v>0</v>
      </c>
      <c r="L175" s="4">
        <v>0</v>
      </c>
      <c r="M175" s="4" t="s">
        <v>311</v>
      </c>
      <c r="N175" s="4">
        <v>1</v>
      </c>
    </row>
    <row r="176" spans="1:14" ht="14.25" customHeight="1" x14ac:dyDescent="0.2">
      <c r="A176" s="4" t="s">
        <v>280</v>
      </c>
      <c r="B176" s="4">
        <v>0</v>
      </c>
      <c r="C176" s="4">
        <v>50</v>
      </c>
      <c r="D176" s="4">
        <v>1.66</v>
      </c>
      <c r="E176" s="4">
        <v>65</v>
      </c>
      <c r="F176" s="7">
        <f t="shared" si="3"/>
        <v>23.588329220496444</v>
      </c>
      <c r="G176" s="4">
        <v>120</v>
      </c>
      <c r="H176" s="4">
        <v>90</v>
      </c>
      <c r="I176" s="4">
        <v>0</v>
      </c>
      <c r="J176" s="4">
        <v>0</v>
      </c>
      <c r="K176" s="4">
        <v>0</v>
      </c>
      <c r="L176" s="4">
        <v>0</v>
      </c>
      <c r="M176" s="4" t="s">
        <v>148</v>
      </c>
      <c r="N176" s="4">
        <v>3</v>
      </c>
    </row>
    <row r="177" spans="1:14" ht="14.25" customHeight="1" x14ac:dyDescent="0.2">
      <c r="A177" s="4" t="s">
        <v>282</v>
      </c>
      <c r="B177" s="4">
        <v>0</v>
      </c>
      <c r="C177" s="4">
        <v>59</v>
      </c>
      <c r="D177" s="4">
        <v>1.58</v>
      </c>
      <c r="E177" s="4">
        <v>62</v>
      </c>
      <c r="F177" s="7">
        <f t="shared" si="3"/>
        <v>24.835763499439189</v>
      </c>
      <c r="G177" s="4">
        <v>110</v>
      </c>
      <c r="H177" s="4">
        <v>90</v>
      </c>
      <c r="I177" s="4">
        <v>0</v>
      </c>
      <c r="J177" s="4">
        <v>0</v>
      </c>
      <c r="K177" s="4" t="s">
        <v>283</v>
      </c>
      <c r="L177" s="4">
        <v>0</v>
      </c>
      <c r="M177" s="4" t="s">
        <v>311</v>
      </c>
      <c r="N177" s="4">
        <v>1</v>
      </c>
    </row>
    <row r="178" spans="1:14" ht="14.25" customHeight="1" x14ac:dyDescent="0.2">
      <c r="A178" s="4" t="s">
        <v>284</v>
      </c>
      <c r="B178" s="4">
        <v>0</v>
      </c>
      <c r="C178" s="4">
        <v>24</v>
      </c>
      <c r="D178" s="4">
        <v>1.53</v>
      </c>
      <c r="E178" s="4">
        <v>44</v>
      </c>
      <c r="F178" s="7">
        <f t="shared" si="3"/>
        <v>18.796189499765049</v>
      </c>
      <c r="G178" s="4">
        <v>120</v>
      </c>
      <c r="H178" s="4">
        <v>90</v>
      </c>
      <c r="I178" s="4">
        <v>0</v>
      </c>
      <c r="J178" s="4">
        <v>0</v>
      </c>
      <c r="K178" s="4" t="s">
        <v>285</v>
      </c>
      <c r="L178" s="4">
        <v>0</v>
      </c>
      <c r="M178" s="4" t="s">
        <v>69</v>
      </c>
      <c r="N178" s="4">
        <v>0</v>
      </c>
    </row>
    <row r="179" spans="1:14" ht="14.25" customHeight="1" x14ac:dyDescent="0.2">
      <c r="A179" s="4" t="s">
        <v>286</v>
      </c>
      <c r="B179" s="4">
        <v>0</v>
      </c>
      <c r="C179" s="4">
        <v>22</v>
      </c>
      <c r="D179" s="4">
        <v>1.62</v>
      </c>
      <c r="E179" s="4">
        <v>90</v>
      </c>
      <c r="F179" s="7">
        <f t="shared" si="3"/>
        <v>34.293552812071326</v>
      </c>
      <c r="G179" s="4">
        <v>130</v>
      </c>
      <c r="H179" s="4">
        <v>80</v>
      </c>
      <c r="I179" s="4">
        <v>0</v>
      </c>
      <c r="J179" s="4">
        <v>0</v>
      </c>
      <c r="K179" s="4" t="s">
        <v>123</v>
      </c>
      <c r="L179" s="4">
        <v>0</v>
      </c>
      <c r="M179" s="4" t="s">
        <v>69</v>
      </c>
      <c r="N179" s="4">
        <v>0</v>
      </c>
    </row>
    <row r="180" spans="1:14" ht="14.25" customHeight="1" x14ac:dyDescent="0.2">
      <c r="A180" s="4" t="s">
        <v>288</v>
      </c>
      <c r="B180" s="4">
        <v>0</v>
      </c>
      <c r="C180" s="4">
        <v>24</v>
      </c>
      <c r="D180" s="4">
        <v>1.55</v>
      </c>
      <c r="E180" s="4">
        <v>45</v>
      </c>
      <c r="F180" s="7">
        <f t="shared" si="3"/>
        <v>18.730489073881373</v>
      </c>
      <c r="G180" s="4">
        <v>90</v>
      </c>
      <c r="H180" s="4">
        <v>60</v>
      </c>
      <c r="I180" s="4">
        <v>0</v>
      </c>
      <c r="J180" s="4">
        <v>0</v>
      </c>
      <c r="K180" s="4">
        <v>0</v>
      </c>
      <c r="L180" s="4">
        <v>0</v>
      </c>
      <c r="M180" s="4" t="s">
        <v>148</v>
      </c>
      <c r="N180" s="4">
        <v>3</v>
      </c>
    </row>
    <row r="181" spans="1:14" ht="14.25" customHeight="1" x14ac:dyDescent="0.2">
      <c r="A181" s="4" t="s">
        <v>289</v>
      </c>
      <c r="B181" s="4">
        <v>0</v>
      </c>
      <c r="C181" s="4">
        <v>27</v>
      </c>
      <c r="D181" s="4">
        <v>1.62</v>
      </c>
      <c r="E181" s="4">
        <v>57</v>
      </c>
      <c r="F181" s="7">
        <f t="shared" si="3"/>
        <v>21.719250114311837</v>
      </c>
      <c r="G181" s="4">
        <v>100</v>
      </c>
      <c r="H181" s="4">
        <v>90</v>
      </c>
      <c r="I181" s="4">
        <v>0</v>
      </c>
      <c r="J181" s="4">
        <v>0</v>
      </c>
      <c r="K181" s="4">
        <v>0</v>
      </c>
      <c r="L181" s="4">
        <v>0</v>
      </c>
      <c r="M181" s="4" t="s">
        <v>148</v>
      </c>
      <c r="N181" s="4">
        <v>3</v>
      </c>
    </row>
    <row r="182" spans="1:14" ht="14.25" customHeight="1" x14ac:dyDescent="0.2">
      <c r="A182" s="4" t="s">
        <v>291</v>
      </c>
      <c r="B182" s="4">
        <v>0</v>
      </c>
      <c r="C182" s="4">
        <v>35</v>
      </c>
      <c r="D182" s="4">
        <v>1.75</v>
      </c>
      <c r="E182" s="4">
        <v>82</v>
      </c>
      <c r="F182" s="7">
        <f t="shared" si="3"/>
        <v>26.775510204081634</v>
      </c>
      <c r="G182" s="4">
        <v>120</v>
      </c>
      <c r="H182" s="4">
        <v>80</v>
      </c>
      <c r="I182" s="4">
        <v>0</v>
      </c>
      <c r="J182" s="4">
        <v>0</v>
      </c>
      <c r="K182" s="4" t="s">
        <v>292</v>
      </c>
      <c r="L182" s="4">
        <v>0</v>
      </c>
      <c r="M182" s="4" t="s">
        <v>148</v>
      </c>
      <c r="N182" s="4">
        <v>3</v>
      </c>
    </row>
    <row r="183" spans="1:14" ht="14.25" customHeight="1" x14ac:dyDescent="0.2">
      <c r="A183" s="4" t="s">
        <v>293</v>
      </c>
      <c r="B183" s="4">
        <v>0</v>
      </c>
      <c r="C183" s="4">
        <v>39</v>
      </c>
      <c r="D183" s="4">
        <v>1.65</v>
      </c>
      <c r="E183" s="4">
        <v>69</v>
      </c>
      <c r="F183" s="7">
        <f t="shared" si="3"/>
        <v>25.344352617079892</v>
      </c>
      <c r="G183" s="4">
        <v>110</v>
      </c>
      <c r="H183" s="4">
        <v>90</v>
      </c>
      <c r="I183" s="4">
        <v>0</v>
      </c>
      <c r="J183" s="4">
        <v>0</v>
      </c>
      <c r="K183" s="4">
        <v>0</v>
      </c>
      <c r="L183" s="4">
        <v>0</v>
      </c>
      <c r="M183" s="4" t="s">
        <v>148</v>
      </c>
      <c r="N183" s="4">
        <v>3</v>
      </c>
    </row>
    <row r="184" spans="1:14" ht="14.25" customHeight="1" x14ac:dyDescent="0.2">
      <c r="A184" s="4" t="s">
        <v>295</v>
      </c>
      <c r="B184" s="4">
        <v>1</v>
      </c>
      <c r="C184" s="4">
        <v>27</v>
      </c>
      <c r="D184" s="4">
        <v>1.84</v>
      </c>
      <c r="E184" s="4">
        <v>91</v>
      </c>
      <c r="F184" s="7">
        <f t="shared" si="3"/>
        <v>26.878544423440452</v>
      </c>
      <c r="G184" s="4">
        <v>120</v>
      </c>
      <c r="H184" s="4">
        <v>80</v>
      </c>
      <c r="I184" s="4">
        <v>0</v>
      </c>
      <c r="J184" s="4">
        <v>0</v>
      </c>
      <c r="K184" s="4">
        <v>0</v>
      </c>
      <c r="L184" s="4">
        <v>0</v>
      </c>
      <c r="M184" s="4" t="s">
        <v>311</v>
      </c>
      <c r="N184" s="4">
        <v>1</v>
      </c>
    </row>
    <row r="185" spans="1:14" ht="14.25" customHeight="1" x14ac:dyDescent="0.2">
      <c r="A185" s="4" t="s">
        <v>296</v>
      </c>
      <c r="B185" s="4">
        <v>0</v>
      </c>
      <c r="C185" s="4">
        <v>24</v>
      </c>
      <c r="D185" s="4">
        <v>1.73</v>
      </c>
      <c r="E185" s="4">
        <v>57</v>
      </c>
      <c r="F185" s="7">
        <f t="shared" si="3"/>
        <v>19.045073340238563</v>
      </c>
      <c r="G185" s="4">
        <v>110</v>
      </c>
      <c r="H185" s="4">
        <v>90</v>
      </c>
      <c r="I185" s="4">
        <v>0</v>
      </c>
      <c r="J185" s="4">
        <v>0</v>
      </c>
      <c r="K185" s="4" t="s">
        <v>63</v>
      </c>
      <c r="L185" s="4">
        <v>0</v>
      </c>
      <c r="M185" s="4" t="s">
        <v>311</v>
      </c>
      <c r="N185" s="4">
        <v>1</v>
      </c>
    </row>
    <row r="186" spans="1:14" ht="14.25" customHeight="1" x14ac:dyDescent="0.2">
      <c r="A186" s="4" t="s">
        <v>297</v>
      </c>
      <c r="B186" s="4">
        <v>0</v>
      </c>
      <c r="C186" s="4">
        <v>23</v>
      </c>
      <c r="D186" s="4">
        <v>1.65</v>
      </c>
      <c r="E186" s="4">
        <v>55</v>
      </c>
      <c r="F186" s="7">
        <f t="shared" si="3"/>
        <v>20.202020202020204</v>
      </c>
      <c r="G186" s="4">
        <v>110</v>
      </c>
      <c r="H186" s="4">
        <v>90</v>
      </c>
      <c r="I186" s="4">
        <v>0</v>
      </c>
      <c r="J186" s="4">
        <v>0</v>
      </c>
      <c r="K186" s="4">
        <v>0</v>
      </c>
      <c r="L186" s="4">
        <v>0</v>
      </c>
      <c r="M186" s="4" t="s">
        <v>148</v>
      </c>
      <c r="N186" s="4">
        <v>3</v>
      </c>
    </row>
    <row r="187" spans="1:14" ht="14.25" customHeight="1" x14ac:dyDescent="0.2">
      <c r="A187" s="4" t="s">
        <v>298</v>
      </c>
      <c r="B187" s="4">
        <v>1</v>
      </c>
      <c r="C187" s="4">
        <v>33</v>
      </c>
      <c r="D187" s="4">
        <v>1.72</v>
      </c>
      <c r="E187" s="4">
        <v>87</v>
      </c>
      <c r="F187" s="7">
        <f t="shared" si="3"/>
        <v>29.407787993510009</v>
      </c>
      <c r="G187" s="4">
        <v>100</v>
      </c>
      <c r="H187" s="4">
        <v>90</v>
      </c>
      <c r="I187" s="4">
        <v>0</v>
      </c>
      <c r="J187" s="4">
        <v>0</v>
      </c>
      <c r="K187" s="4">
        <v>0</v>
      </c>
      <c r="L187" s="4">
        <v>0</v>
      </c>
      <c r="M187" s="4" t="s">
        <v>148</v>
      </c>
      <c r="N187" s="4">
        <v>3</v>
      </c>
    </row>
    <row r="188" spans="1:14" ht="14.25" customHeight="1" x14ac:dyDescent="0.2">
      <c r="A188" s="4" t="s">
        <v>300</v>
      </c>
      <c r="B188" s="4">
        <v>0</v>
      </c>
      <c r="C188" s="4">
        <v>31</v>
      </c>
      <c r="D188" s="4">
        <v>1.69</v>
      </c>
      <c r="E188" s="4">
        <v>62</v>
      </c>
      <c r="F188" s="7">
        <f t="shared" si="3"/>
        <v>21.707923392038097</v>
      </c>
      <c r="G188" s="4">
        <v>120</v>
      </c>
      <c r="H188" s="4">
        <v>80</v>
      </c>
      <c r="I188" s="4">
        <v>0</v>
      </c>
      <c r="J188" s="4">
        <v>0</v>
      </c>
      <c r="K188" s="4">
        <v>0</v>
      </c>
      <c r="L188" s="4">
        <v>0</v>
      </c>
      <c r="M188" s="4" t="s">
        <v>310</v>
      </c>
      <c r="N188" s="4">
        <v>2</v>
      </c>
    </row>
    <row r="189" spans="1:14" ht="14.25" customHeight="1" x14ac:dyDescent="0.2">
      <c r="A189" s="4" t="s">
        <v>303</v>
      </c>
      <c r="B189" s="4">
        <v>0</v>
      </c>
      <c r="C189" s="4">
        <v>25</v>
      </c>
      <c r="D189" s="4">
        <v>1.64</v>
      </c>
      <c r="E189" s="4">
        <v>54</v>
      </c>
      <c r="F189" s="7">
        <f t="shared" si="3"/>
        <v>20.077334919690664</v>
      </c>
      <c r="G189" s="4">
        <v>110</v>
      </c>
      <c r="H189" s="4">
        <v>80</v>
      </c>
      <c r="I189" s="4">
        <v>0</v>
      </c>
      <c r="J189" s="4">
        <v>0</v>
      </c>
      <c r="K189" s="4" t="s">
        <v>63</v>
      </c>
      <c r="L189" s="4">
        <v>0</v>
      </c>
      <c r="M189" s="4" t="s">
        <v>311</v>
      </c>
      <c r="N189" s="4">
        <v>1</v>
      </c>
    </row>
    <row r="190" spans="1:14" ht="14.25" customHeight="1" x14ac:dyDescent="0.2">
      <c r="A190" s="4" t="s">
        <v>305</v>
      </c>
      <c r="B190" s="4">
        <v>0</v>
      </c>
      <c r="C190" s="4">
        <v>30</v>
      </c>
      <c r="D190" s="4">
        <v>1.63</v>
      </c>
      <c r="E190" s="4">
        <v>65</v>
      </c>
      <c r="F190" s="7">
        <f t="shared" si="3"/>
        <v>24.464601603372351</v>
      </c>
      <c r="G190" s="4">
        <v>90</v>
      </c>
      <c r="H190" s="4">
        <v>60</v>
      </c>
      <c r="I190" s="4">
        <v>0</v>
      </c>
      <c r="J190" s="4">
        <v>0</v>
      </c>
      <c r="K190" s="4" t="s">
        <v>63</v>
      </c>
      <c r="L190" s="4">
        <v>0</v>
      </c>
      <c r="M190" s="4" t="s">
        <v>310</v>
      </c>
      <c r="N190" s="4">
        <v>2</v>
      </c>
    </row>
    <row r="191" spans="1:14" ht="14.25" customHeight="1" x14ac:dyDescent="0.2">
      <c r="A191" s="4" t="s">
        <v>307</v>
      </c>
      <c r="B191" s="4">
        <v>0</v>
      </c>
      <c r="C191" s="4">
        <v>25</v>
      </c>
      <c r="D191" s="4">
        <v>1.64</v>
      </c>
      <c r="E191" s="4">
        <v>59</v>
      </c>
      <c r="F191" s="7">
        <f t="shared" si="3"/>
        <v>21.936347412254616</v>
      </c>
      <c r="G191" s="4">
        <v>100</v>
      </c>
      <c r="H191" s="4">
        <v>90</v>
      </c>
      <c r="I191" s="4">
        <v>0</v>
      </c>
      <c r="J191" s="4">
        <v>0</v>
      </c>
      <c r="K191" s="4">
        <v>0</v>
      </c>
      <c r="L191" s="4">
        <v>0</v>
      </c>
      <c r="M191" s="4" t="s">
        <v>310</v>
      </c>
      <c r="N191" s="4">
        <v>2</v>
      </c>
    </row>
  </sheetData>
  <sortState xmlns:xlrd2="http://schemas.microsoft.com/office/spreadsheetml/2017/richdata2" ref="A2:O26">
    <sortCondition ref="B2:B2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3"/>
  <sheetViews>
    <sheetView tabSelected="1" workbookViewId="0"/>
  </sheetViews>
  <sheetFormatPr baseColWidth="10" defaultColWidth="8.83203125" defaultRowHeight="15" x14ac:dyDescent="0.2"/>
  <cols>
    <col min="1" max="1" width="31.33203125" bestFit="1" customWidth="1"/>
    <col min="4" max="4" width="11.5" bestFit="1" customWidth="1"/>
    <col min="6" max="6" width="10.5" bestFit="1" customWidth="1"/>
    <col min="7" max="7" width="9.33203125" bestFit="1" customWidth="1"/>
    <col min="8" max="8" width="10.5" bestFit="1" customWidth="1"/>
    <col min="9" max="9" width="9.5" bestFit="1" customWidth="1"/>
    <col min="10" max="10" width="15.8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13</v>
      </c>
      <c r="D1" s="1" t="s">
        <v>15</v>
      </c>
      <c r="E1" s="1" t="s">
        <v>14</v>
      </c>
      <c r="F1" s="1" t="s">
        <v>16</v>
      </c>
      <c r="G1" s="1" t="s">
        <v>17</v>
      </c>
      <c r="H1" s="1" t="s">
        <v>18</v>
      </c>
      <c r="I1" s="1" t="s">
        <v>20</v>
      </c>
      <c r="J1" s="1" t="s">
        <v>19</v>
      </c>
      <c r="K1" s="2"/>
      <c r="L1" s="2" t="s">
        <v>60</v>
      </c>
      <c r="M1" s="2"/>
    </row>
    <row r="2" spans="1:13" s="4" customFormat="1" x14ac:dyDescent="0.2">
      <c r="A2" s="4" t="s">
        <v>36</v>
      </c>
      <c r="B2" s="4">
        <v>0</v>
      </c>
      <c r="C2" s="4">
        <v>2.84</v>
      </c>
      <c r="D2" s="4">
        <v>81</v>
      </c>
      <c r="E2" s="4">
        <v>3.21</v>
      </c>
      <c r="F2" s="4">
        <v>84</v>
      </c>
      <c r="G2" s="4">
        <v>9.2100000000000009</v>
      </c>
      <c r="H2" s="4">
        <v>153</v>
      </c>
      <c r="I2" s="4">
        <v>88</v>
      </c>
      <c r="J2" s="4">
        <v>91</v>
      </c>
    </row>
    <row r="3" spans="1:13" s="4" customFormat="1" x14ac:dyDescent="0.2">
      <c r="A3" s="4" t="s">
        <v>247</v>
      </c>
      <c r="B3" s="4">
        <v>0</v>
      </c>
      <c r="C3" s="4">
        <v>2.84</v>
      </c>
      <c r="D3" s="4">
        <v>81</v>
      </c>
      <c r="E3" s="4">
        <v>3.21</v>
      </c>
      <c r="F3" s="4">
        <v>84</v>
      </c>
      <c r="G3" s="4">
        <v>9.2100000000000009</v>
      </c>
      <c r="H3" s="4">
        <v>153</v>
      </c>
      <c r="I3" s="4">
        <v>88</v>
      </c>
      <c r="J3" s="4">
        <v>91</v>
      </c>
    </row>
    <row r="4" spans="1:13" s="4" customFormat="1" x14ac:dyDescent="0.2">
      <c r="A4" s="4" t="s">
        <v>39</v>
      </c>
      <c r="B4" s="4">
        <v>0</v>
      </c>
      <c r="C4" s="4">
        <v>2.96</v>
      </c>
      <c r="D4" s="4">
        <v>112</v>
      </c>
      <c r="E4" s="4">
        <v>3.66</v>
      </c>
      <c r="F4" s="4">
        <v>127</v>
      </c>
      <c r="G4" s="4">
        <v>5.77</v>
      </c>
      <c r="H4" s="4">
        <v>117</v>
      </c>
      <c r="I4" s="4">
        <v>80</v>
      </c>
      <c r="J4" s="4">
        <v>86</v>
      </c>
    </row>
    <row r="5" spans="1:13" s="4" customFormat="1" x14ac:dyDescent="0.2">
      <c r="A5" s="4" t="s">
        <v>40</v>
      </c>
      <c r="B5" s="4">
        <v>0</v>
      </c>
      <c r="C5" s="4">
        <v>3.52</v>
      </c>
      <c r="D5" s="4">
        <v>133</v>
      </c>
      <c r="E5" s="4">
        <v>3.89</v>
      </c>
      <c r="F5" s="4">
        <v>137</v>
      </c>
      <c r="G5" s="4">
        <v>7.87</v>
      </c>
      <c r="H5" s="4">
        <v>143</v>
      </c>
      <c r="I5" s="4">
        <v>90</v>
      </c>
      <c r="J5" s="4">
        <v>97</v>
      </c>
    </row>
    <row r="6" spans="1:13" s="4" customFormat="1" x14ac:dyDescent="0.2">
      <c r="A6" s="4" t="s">
        <v>42</v>
      </c>
      <c r="B6" s="4">
        <v>0</v>
      </c>
      <c r="C6" s="4">
        <v>2.6</v>
      </c>
      <c r="D6" s="4">
        <v>98</v>
      </c>
      <c r="E6" s="4">
        <v>2.9</v>
      </c>
      <c r="F6" s="4">
        <v>97</v>
      </c>
      <c r="G6" s="4">
        <v>6</v>
      </c>
      <c r="H6" s="4">
        <v>112</v>
      </c>
      <c r="I6" s="4">
        <v>89</v>
      </c>
      <c r="J6" s="4">
        <v>96</v>
      </c>
    </row>
    <row r="7" spans="1:13" s="4" customFormat="1" x14ac:dyDescent="0.2">
      <c r="A7" s="4" t="s">
        <v>43</v>
      </c>
      <c r="B7" s="4">
        <v>0</v>
      </c>
      <c r="C7" s="4">
        <v>2.42</v>
      </c>
      <c r="D7" s="4">
        <v>80</v>
      </c>
      <c r="E7" s="4">
        <v>2.88</v>
      </c>
      <c r="F7" s="4">
        <v>85</v>
      </c>
      <c r="G7" s="4">
        <v>4.33</v>
      </c>
      <c r="H7" s="4">
        <v>85</v>
      </c>
      <c r="I7" s="4">
        <v>83</v>
      </c>
      <c r="J7" s="4">
        <v>86</v>
      </c>
    </row>
    <row r="8" spans="1:13" s="4" customFormat="1" x14ac:dyDescent="0.2">
      <c r="A8" s="4" t="s">
        <v>44</v>
      </c>
      <c r="B8" s="4">
        <v>0</v>
      </c>
      <c r="C8" s="4">
        <v>3.56</v>
      </c>
      <c r="D8" s="4">
        <v>92</v>
      </c>
      <c r="E8" s="4">
        <v>4.18</v>
      </c>
      <c r="F8" s="4">
        <v>93</v>
      </c>
      <c r="G8" s="4">
        <v>7.85</v>
      </c>
      <c r="H8" s="4">
        <v>96</v>
      </c>
      <c r="I8" s="4">
        <v>85</v>
      </c>
      <c r="J8" s="4">
        <v>94</v>
      </c>
    </row>
    <row r="9" spans="1:13" s="4" customFormat="1" x14ac:dyDescent="0.2">
      <c r="A9" s="4" t="s">
        <v>45</v>
      </c>
      <c r="B9" s="4">
        <v>0</v>
      </c>
      <c r="C9" s="4">
        <v>2.5299999999999998</v>
      </c>
      <c r="D9" s="4">
        <v>85</v>
      </c>
      <c r="E9" s="4">
        <v>3.67</v>
      </c>
      <c r="F9" s="4">
        <v>112</v>
      </c>
      <c r="G9" s="4">
        <v>5.5</v>
      </c>
      <c r="H9" s="4">
        <v>106</v>
      </c>
      <c r="I9" s="4">
        <v>68</v>
      </c>
      <c r="J9" s="4">
        <v>70</v>
      </c>
    </row>
    <row r="10" spans="1:13" s="4" customFormat="1" x14ac:dyDescent="0.2">
      <c r="A10" s="4" t="s">
        <v>47</v>
      </c>
      <c r="B10" s="4">
        <v>0</v>
      </c>
      <c r="C10" s="4">
        <v>2.5499999999999998</v>
      </c>
      <c r="D10" s="4">
        <v>87</v>
      </c>
      <c r="E10" s="4">
        <v>3.58</v>
      </c>
      <c r="F10" s="4">
        <v>111</v>
      </c>
      <c r="G10" s="4">
        <v>5.3</v>
      </c>
      <c r="H10" s="4">
        <v>96</v>
      </c>
      <c r="I10" s="4">
        <v>71</v>
      </c>
      <c r="J10" s="4">
        <v>76</v>
      </c>
    </row>
    <row r="11" spans="1:13" s="4" customFormat="1" x14ac:dyDescent="0.2">
      <c r="A11" s="4" t="s">
        <v>51</v>
      </c>
      <c r="B11" s="4">
        <v>0</v>
      </c>
      <c r="C11" s="4">
        <v>3.06</v>
      </c>
      <c r="D11" s="4">
        <v>102</v>
      </c>
      <c r="E11" s="4">
        <v>4.03</v>
      </c>
      <c r="F11" s="4">
        <v>124</v>
      </c>
      <c r="G11" s="4">
        <v>4.76</v>
      </c>
      <c r="H11" s="4">
        <v>81</v>
      </c>
      <c r="I11" s="4">
        <v>75</v>
      </c>
      <c r="J11" s="4">
        <v>81</v>
      </c>
    </row>
    <row r="12" spans="1:13" s="4" customFormat="1" x14ac:dyDescent="0.2">
      <c r="A12" s="4" t="s">
        <v>52</v>
      </c>
      <c r="B12" s="4">
        <v>0</v>
      </c>
      <c r="C12" s="4">
        <v>2.7</v>
      </c>
      <c r="D12" s="4">
        <v>105</v>
      </c>
      <c r="E12" s="4">
        <v>2.87</v>
      </c>
      <c r="F12" s="4">
        <v>103</v>
      </c>
      <c r="G12" s="4">
        <v>4.9800000000000004</v>
      </c>
      <c r="H12" s="4">
        <v>104</v>
      </c>
      <c r="I12" s="4">
        <v>93</v>
      </c>
      <c r="J12" s="4">
        <v>100</v>
      </c>
    </row>
    <row r="13" spans="1:13" s="4" customFormat="1" x14ac:dyDescent="0.2">
      <c r="A13" s="4" t="s">
        <v>53</v>
      </c>
      <c r="B13" s="4">
        <v>0</v>
      </c>
      <c r="C13" s="4">
        <v>3.3</v>
      </c>
      <c r="D13" s="4">
        <v>103</v>
      </c>
      <c r="E13" s="4">
        <v>3.6</v>
      </c>
      <c r="F13" s="4">
        <v>103</v>
      </c>
      <c r="G13" s="4">
        <v>8.14</v>
      </c>
      <c r="H13" s="4">
        <v>135</v>
      </c>
      <c r="I13" s="4">
        <v>3.3</v>
      </c>
      <c r="J13" s="4">
        <v>103</v>
      </c>
    </row>
    <row r="14" spans="1:13" s="4" customFormat="1" x14ac:dyDescent="0.2">
      <c r="A14" s="4" t="s">
        <v>62</v>
      </c>
      <c r="B14" s="4">
        <v>0</v>
      </c>
      <c r="C14" s="4">
        <v>2.86</v>
      </c>
      <c r="D14" s="4">
        <v>100</v>
      </c>
      <c r="E14" s="4">
        <v>3.39</v>
      </c>
      <c r="F14" s="4">
        <v>110</v>
      </c>
      <c r="G14" s="4">
        <v>5.63</v>
      </c>
      <c r="H14" s="4">
        <v>99</v>
      </c>
      <c r="I14" s="4">
        <v>84</v>
      </c>
      <c r="J14" s="4">
        <v>90</v>
      </c>
    </row>
    <row r="15" spans="1:13" s="4" customFormat="1" x14ac:dyDescent="0.2">
      <c r="A15" s="4" t="s">
        <v>55</v>
      </c>
      <c r="B15" s="4">
        <v>0</v>
      </c>
      <c r="C15" s="4">
        <v>2.73</v>
      </c>
      <c r="D15" s="4">
        <v>99</v>
      </c>
      <c r="E15" s="4">
        <v>3.59</v>
      </c>
      <c r="F15" s="4">
        <v>120</v>
      </c>
      <c r="G15" s="4">
        <v>6.29</v>
      </c>
      <c r="H15" s="4">
        <v>120</v>
      </c>
      <c r="I15" s="4">
        <v>76</v>
      </c>
      <c r="J15" s="4">
        <v>82</v>
      </c>
    </row>
    <row r="16" spans="1:13" s="4" customFormat="1" x14ac:dyDescent="0.2">
      <c r="A16" s="4" t="s">
        <v>56</v>
      </c>
      <c r="B16" s="4">
        <v>0</v>
      </c>
      <c r="C16" s="4">
        <v>2.98</v>
      </c>
      <c r="D16" s="4">
        <v>103</v>
      </c>
      <c r="E16" s="4">
        <v>3.27</v>
      </c>
      <c r="F16" s="4">
        <v>104</v>
      </c>
      <c r="G16" s="4">
        <v>6.8</v>
      </c>
      <c r="H16" s="4">
        <v>125</v>
      </c>
      <c r="I16" s="4">
        <v>91</v>
      </c>
      <c r="J16" s="4">
        <v>98</v>
      </c>
    </row>
    <row r="17" spans="1:10" s="4" customFormat="1" x14ac:dyDescent="0.2">
      <c r="A17" s="4" t="s">
        <v>33</v>
      </c>
      <c r="B17" s="4">
        <v>1</v>
      </c>
      <c r="C17" s="4">
        <v>4.3499999999999996</v>
      </c>
      <c r="D17" s="4">
        <v>86</v>
      </c>
      <c r="E17" s="4">
        <v>6.05</v>
      </c>
      <c r="F17" s="4">
        <v>77</v>
      </c>
      <c r="G17" s="4">
        <v>7.17</v>
      </c>
      <c r="H17" s="4">
        <v>67</v>
      </c>
      <c r="I17" s="4">
        <v>71</v>
      </c>
      <c r="J17" s="4">
        <v>76</v>
      </c>
    </row>
    <row r="18" spans="1:10" s="4" customFormat="1" x14ac:dyDescent="0.2">
      <c r="A18" s="4" t="s">
        <v>34</v>
      </c>
      <c r="B18" s="4">
        <v>1</v>
      </c>
      <c r="C18" s="4">
        <v>4.59</v>
      </c>
      <c r="D18" s="4">
        <v>126</v>
      </c>
      <c r="E18" s="4">
        <v>5.28</v>
      </c>
      <c r="F18" s="4">
        <v>128</v>
      </c>
      <c r="G18" s="4">
        <v>10.63</v>
      </c>
      <c r="H18" s="4">
        <v>144</v>
      </c>
      <c r="I18" s="4">
        <v>87</v>
      </c>
      <c r="J18" s="4">
        <v>94</v>
      </c>
    </row>
    <row r="19" spans="1:10" s="4" customFormat="1" x14ac:dyDescent="0.2">
      <c r="A19" s="4" t="s">
        <v>35</v>
      </c>
      <c r="B19" s="4">
        <v>1</v>
      </c>
      <c r="C19" s="4">
        <v>3.84</v>
      </c>
      <c r="D19" s="4">
        <v>90</v>
      </c>
      <c r="E19" s="4">
        <v>4.8</v>
      </c>
      <c r="F19" s="4">
        <v>105</v>
      </c>
      <c r="G19" s="4">
        <v>11.63</v>
      </c>
      <c r="H19" s="4">
        <v>114</v>
      </c>
      <c r="I19" s="4">
        <v>80</v>
      </c>
      <c r="J19" s="4">
        <v>85</v>
      </c>
    </row>
    <row r="20" spans="1:10" s="4" customFormat="1" x14ac:dyDescent="0.2">
      <c r="A20" s="4" t="s">
        <v>38</v>
      </c>
      <c r="B20" s="4">
        <v>1</v>
      </c>
      <c r="C20" s="4">
        <v>4.74</v>
      </c>
      <c r="D20" s="4">
        <v>103</v>
      </c>
      <c r="E20" s="4">
        <v>5.16</v>
      </c>
      <c r="F20" s="4">
        <v>105</v>
      </c>
      <c r="G20" s="4">
        <v>14</v>
      </c>
      <c r="H20" s="4">
        <v>134</v>
      </c>
      <c r="I20" s="4">
        <v>91</v>
      </c>
      <c r="J20" s="4">
        <v>97</v>
      </c>
    </row>
    <row r="21" spans="1:10" s="4" customFormat="1" x14ac:dyDescent="0.2">
      <c r="A21" s="4" t="s">
        <v>46</v>
      </c>
      <c r="B21" s="4">
        <v>1</v>
      </c>
      <c r="C21" s="4">
        <v>4.12</v>
      </c>
      <c r="D21" s="4">
        <v>80</v>
      </c>
      <c r="E21" s="4">
        <v>5.01</v>
      </c>
      <c r="F21" s="4">
        <v>86</v>
      </c>
      <c r="G21" s="4">
        <v>10.69</v>
      </c>
      <c r="H21" s="4">
        <v>103</v>
      </c>
      <c r="I21" s="4">
        <v>82</v>
      </c>
      <c r="J21" s="4">
        <v>87</v>
      </c>
    </row>
    <row r="22" spans="1:10" s="4" customFormat="1" x14ac:dyDescent="0.2">
      <c r="A22" s="4" t="s">
        <v>48</v>
      </c>
      <c r="B22" s="4">
        <v>1</v>
      </c>
      <c r="C22" s="4">
        <v>3.41</v>
      </c>
      <c r="D22" s="4">
        <v>104</v>
      </c>
      <c r="E22" s="4">
        <v>4.49</v>
      </c>
      <c r="F22" s="4">
        <v>121</v>
      </c>
      <c r="G22" s="4">
        <v>7.23</v>
      </c>
      <c r="H22" s="4">
        <v>106</v>
      </c>
      <c r="I22" s="4">
        <v>78</v>
      </c>
      <c r="J22" s="4">
        <v>81</v>
      </c>
    </row>
    <row r="23" spans="1:10" s="4" customFormat="1" x14ac:dyDescent="0.2">
      <c r="A23" s="4" t="s">
        <v>49</v>
      </c>
      <c r="B23" s="4">
        <v>1</v>
      </c>
      <c r="C23" s="4">
        <v>3.62</v>
      </c>
      <c r="D23" s="4">
        <v>80</v>
      </c>
      <c r="E23" s="4">
        <v>3.99</v>
      </c>
      <c r="F23" s="4">
        <v>79</v>
      </c>
      <c r="G23" s="4">
        <v>11.06</v>
      </c>
      <c r="H23" s="4">
        <v>114</v>
      </c>
      <c r="I23" s="4">
        <v>90</v>
      </c>
      <c r="J23" s="4">
        <v>96</v>
      </c>
    </row>
    <row r="24" spans="1:10" s="4" customFormat="1" x14ac:dyDescent="0.2">
      <c r="A24" s="4" t="s">
        <v>50</v>
      </c>
      <c r="B24" s="4">
        <v>1</v>
      </c>
      <c r="C24" s="4">
        <v>3.21</v>
      </c>
      <c r="D24" s="4">
        <v>99</v>
      </c>
      <c r="E24" s="4">
        <v>3.56</v>
      </c>
      <c r="F24" s="4">
        <v>98</v>
      </c>
      <c r="G24" s="4">
        <v>11.86</v>
      </c>
      <c r="H24" s="4">
        <v>177</v>
      </c>
      <c r="I24" s="4">
        <v>90</v>
      </c>
      <c r="J24" s="4">
        <v>97</v>
      </c>
    </row>
    <row r="25" spans="1:10" s="4" customFormat="1" x14ac:dyDescent="0.2">
      <c r="A25" s="4" t="s">
        <v>61</v>
      </c>
      <c r="B25" s="4">
        <v>1</v>
      </c>
      <c r="C25" s="4">
        <v>4.22</v>
      </c>
      <c r="D25" s="4">
        <v>107</v>
      </c>
      <c r="E25" s="4">
        <v>5.1100000000000003</v>
      </c>
      <c r="F25" s="4">
        <v>123</v>
      </c>
      <c r="G25" s="4">
        <v>8.59</v>
      </c>
      <c r="H25" s="4">
        <v>86</v>
      </c>
      <c r="I25" s="4">
        <v>82</v>
      </c>
      <c r="J25" s="4">
        <v>87</v>
      </c>
    </row>
    <row r="26" spans="1:10" s="4" customFormat="1" x14ac:dyDescent="0.2">
      <c r="A26" s="4" t="s">
        <v>54</v>
      </c>
      <c r="B26" s="4">
        <v>1</v>
      </c>
      <c r="C26" s="4">
        <v>3.71</v>
      </c>
      <c r="D26" s="4">
        <v>105</v>
      </c>
      <c r="E26" s="4">
        <v>5.34</v>
      </c>
      <c r="F26" s="4">
        <v>133</v>
      </c>
      <c r="G26" s="4">
        <v>8.65</v>
      </c>
      <c r="H26" s="4">
        <v>120</v>
      </c>
      <c r="I26" s="4">
        <v>69</v>
      </c>
      <c r="J26" s="4">
        <v>74</v>
      </c>
    </row>
    <row r="27" spans="1:10" x14ac:dyDescent="0.2">
      <c r="A27" t="s">
        <v>65</v>
      </c>
      <c r="B27" s="4">
        <v>1</v>
      </c>
      <c r="C27" s="4">
        <v>4.21</v>
      </c>
      <c r="D27" s="4">
        <v>101</v>
      </c>
      <c r="E27" s="4">
        <v>5.35</v>
      </c>
      <c r="F27" s="4">
        <v>120</v>
      </c>
      <c r="G27" s="4">
        <v>12.56</v>
      </c>
      <c r="H27" s="4">
        <v>125</v>
      </c>
      <c r="I27" s="4">
        <v>78</v>
      </c>
      <c r="J27" s="4">
        <v>83</v>
      </c>
    </row>
    <row r="28" spans="1:10" x14ac:dyDescent="0.2">
      <c r="A28" t="s">
        <v>66</v>
      </c>
      <c r="B28" s="4">
        <v>1</v>
      </c>
      <c r="C28" s="4">
        <v>4.8099999999999996</v>
      </c>
      <c r="D28" s="4">
        <v>135</v>
      </c>
      <c r="E28" s="4">
        <v>5.61</v>
      </c>
      <c r="F28" s="4">
        <v>145</v>
      </c>
      <c r="G28" s="4">
        <v>13.28</v>
      </c>
      <c r="H28" s="4">
        <v>193</v>
      </c>
      <c r="I28" s="4">
        <v>85</v>
      </c>
      <c r="J28" s="4">
        <v>91</v>
      </c>
    </row>
    <row r="29" spans="1:10" x14ac:dyDescent="0.2">
      <c r="A29" t="s">
        <v>68</v>
      </c>
      <c r="B29" s="4">
        <v>1</v>
      </c>
      <c r="C29" s="4">
        <v>3.59</v>
      </c>
      <c r="D29" s="4">
        <v>85</v>
      </c>
      <c r="E29" s="4">
        <v>4.53</v>
      </c>
      <c r="F29" s="4">
        <v>101</v>
      </c>
      <c r="G29" s="4">
        <v>12.64</v>
      </c>
      <c r="H29" s="4">
        <v>123</v>
      </c>
      <c r="I29" s="4">
        <v>79</v>
      </c>
      <c r="J29" s="4">
        <v>84</v>
      </c>
    </row>
    <row r="30" spans="1:10" x14ac:dyDescent="0.2">
      <c r="A30" t="s">
        <v>72</v>
      </c>
      <c r="B30" s="4">
        <v>0</v>
      </c>
      <c r="C30" s="4">
        <v>3.26</v>
      </c>
      <c r="D30" s="4">
        <v>113</v>
      </c>
      <c r="E30" s="4">
        <v>4.07</v>
      </c>
      <c r="F30" s="4">
        <v>131</v>
      </c>
      <c r="G30" s="4">
        <v>6.37</v>
      </c>
      <c r="H30" s="4">
        <v>116</v>
      </c>
      <c r="I30" s="4">
        <v>80</v>
      </c>
      <c r="J30" s="4">
        <v>86</v>
      </c>
    </row>
    <row r="31" spans="1:10" x14ac:dyDescent="0.2">
      <c r="A31" t="s">
        <v>73</v>
      </c>
      <c r="B31" s="4">
        <v>1</v>
      </c>
      <c r="C31" s="4">
        <v>4.01</v>
      </c>
      <c r="D31" s="4">
        <v>115</v>
      </c>
      <c r="E31" s="4">
        <v>4.63</v>
      </c>
      <c r="F31" s="4">
        <v>117</v>
      </c>
      <c r="G31" s="4">
        <v>10.28</v>
      </c>
      <c r="H31" s="4">
        <v>144</v>
      </c>
      <c r="I31" s="4">
        <v>86</v>
      </c>
      <c r="J31" s="4">
        <v>92</v>
      </c>
    </row>
    <row r="32" spans="1:10" x14ac:dyDescent="0.2">
      <c r="A32" t="s">
        <v>74</v>
      </c>
      <c r="B32" s="4">
        <v>1</v>
      </c>
      <c r="C32" s="4">
        <v>3.54</v>
      </c>
      <c r="D32" s="4">
        <v>112</v>
      </c>
      <c r="E32" s="4">
        <v>4.45</v>
      </c>
      <c r="F32" s="4">
        <v>126</v>
      </c>
      <c r="G32" s="4">
        <v>8.0399999999999991</v>
      </c>
      <c r="H32" s="4">
        <v>123</v>
      </c>
      <c r="I32" s="4">
        <v>79</v>
      </c>
      <c r="J32" s="4">
        <v>85</v>
      </c>
    </row>
    <row r="33" spans="1:10" x14ac:dyDescent="0.2">
      <c r="A33" t="s">
        <v>76</v>
      </c>
      <c r="B33" s="4">
        <v>1</v>
      </c>
      <c r="C33" s="4">
        <v>4.1399999999999997</v>
      </c>
      <c r="D33" s="4">
        <v>107</v>
      </c>
      <c r="E33" s="4">
        <v>4.72</v>
      </c>
      <c r="F33" s="4">
        <v>107</v>
      </c>
      <c r="G33" s="4">
        <v>8.48</v>
      </c>
      <c r="H33" s="4">
        <v>110</v>
      </c>
      <c r="I33" s="4">
        <v>87</v>
      </c>
      <c r="J33" s="4">
        <v>94</v>
      </c>
    </row>
    <row r="34" spans="1:10" x14ac:dyDescent="0.2">
      <c r="A34" t="s">
        <v>77</v>
      </c>
      <c r="B34" s="4">
        <v>0</v>
      </c>
      <c r="C34" s="4">
        <v>3.39</v>
      </c>
      <c r="D34" s="4">
        <v>127</v>
      </c>
      <c r="E34" s="4">
        <v>3.04</v>
      </c>
      <c r="F34" s="4">
        <v>124</v>
      </c>
      <c r="G34" s="4">
        <v>89</v>
      </c>
      <c r="H34" s="4">
        <v>96</v>
      </c>
      <c r="I34" s="4">
        <v>7.9</v>
      </c>
      <c r="J34" s="4">
        <v>170</v>
      </c>
    </row>
    <row r="35" spans="1:10" x14ac:dyDescent="0.2">
      <c r="A35" t="s">
        <v>79</v>
      </c>
      <c r="B35" s="4">
        <v>0</v>
      </c>
      <c r="C35" s="4">
        <v>2.66</v>
      </c>
      <c r="D35" s="4">
        <v>108</v>
      </c>
      <c r="E35" s="4">
        <v>3.47</v>
      </c>
      <c r="F35" s="4">
        <v>130</v>
      </c>
      <c r="G35" s="4">
        <v>76</v>
      </c>
      <c r="H35" s="4">
        <v>82</v>
      </c>
      <c r="I35" s="4">
        <v>5.39</v>
      </c>
      <c r="J35" s="4">
        <v>116</v>
      </c>
    </row>
    <row r="36" spans="1:10" x14ac:dyDescent="0.2">
      <c r="A36" t="s">
        <v>80</v>
      </c>
      <c r="B36" s="4">
        <v>0</v>
      </c>
      <c r="C36" s="4">
        <v>3.14</v>
      </c>
      <c r="D36" s="4">
        <v>116</v>
      </c>
      <c r="E36" s="4">
        <v>3.38</v>
      </c>
      <c r="F36" s="4">
        <v>115</v>
      </c>
      <c r="G36" s="4">
        <v>5.8</v>
      </c>
      <c r="H36" s="4">
        <v>113</v>
      </c>
      <c r="I36" s="4">
        <v>92</v>
      </c>
      <c r="J36" s="4">
        <v>99</v>
      </c>
    </row>
    <row r="37" spans="1:10" x14ac:dyDescent="0.2">
      <c r="A37" t="s">
        <v>83</v>
      </c>
      <c r="B37" s="4">
        <v>0</v>
      </c>
      <c r="C37" s="4">
        <v>2.91</v>
      </c>
      <c r="D37" s="4">
        <v>103</v>
      </c>
      <c r="E37" s="4">
        <v>3.76</v>
      </c>
      <c r="F37" s="4">
        <v>123</v>
      </c>
      <c r="G37" s="4">
        <v>5.92</v>
      </c>
      <c r="H37" s="4">
        <v>108</v>
      </c>
      <c r="I37" s="4">
        <v>77</v>
      </c>
      <c r="J37" s="4">
        <v>83</v>
      </c>
    </row>
    <row r="38" spans="1:10" x14ac:dyDescent="0.2">
      <c r="A38" t="s">
        <v>85</v>
      </c>
      <c r="B38" s="4">
        <v>0</v>
      </c>
      <c r="C38" s="4">
        <v>2.38</v>
      </c>
      <c r="D38" s="4">
        <v>84</v>
      </c>
      <c r="E38" s="4">
        <v>2.74</v>
      </c>
      <c r="F38" s="4">
        <v>89</v>
      </c>
      <c r="G38" s="4">
        <v>5.46</v>
      </c>
      <c r="H38" s="4">
        <v>107</v>
      </c>
      <c r="I38" s="4">
        <v>86</v>
      </c>
      <c r="J38" s="4">
        <v>89</v>
      </c>
    </row>
    <row r="39" spans="1:10" x14ac:dyDescent="0.2">
      <c r="A39" t="s">
        <v>86</v>
      </c>
      <c r="B39" s="4">
        <v>1</v>
      </c>
      <c r="C39" s="4">
        <v>3.56</v>
      </c>
      <c r="D39" s="4">
        <v>108</v>
      </c>
      <c r="E39" s="4">
        <v>4.03</v>
      </c>
      <c r="F39" s="4">
        <v>109</v>
      </c>
      <c r="G39" s="4">
        <v>8.73</v>
      </c>
      <c r="H39" s="4">
        <v>129</v>
      </c>
      <c r="I39" s="4">
        <v>88</v>
      </c>
      <c r="J39" s="4">
        <v>95</v>
      </c>
    </row>
    <row r="40" spans="1:10" x14ac:dyDescent="0.2">
      <c r="A40" t="s">
        <v>87</v>
      </c>
      <c r="B40" s="4">
        <v>1</v>
      </c>
      <c r="C40" s="4">
        <v>4.1900000000000004</v>
      </c>
      <c r="D40" s="4">
        <v>97</v>
      </c>
      <c r="E40" s="4">
        <v>5.28</v>
      </c>
      <c r="F40" s="4">
        <v>115</v>
      </c>
      <c r="G40" s="4">
        <v>11.7</v>
      </c>
      <c r="H40" s="4">
        <v>115</v>
      </c>
      <c r="I40" s="4">
        <v>79</v>
      </c>
      <c r="J40" s="4">
        <v>94</v>
      </c>
    </row>
    <row r="41" spans="1:10" x14ac:dyDescent="0.2">
      <c r="A41" t="s">
        <v>88</v>
      </c>
      <c r="B41" s="4">
        <v>1</v>
      </c>
      <c r="C41" s="4">
        <v>4.42</v>
      </c>
      <c r="D41" s="4">
        <v>125</v>
      </c>
      <c r="E41" s="4">
        <v>5.34</v>
      </c>
      <c r="F41" s="4">
        <v>133</v>
      </c>
      <c r="G41" s="4">
        <v>11.87</v>
      </c>
      <c r="H41" s="4">
        <v>165</v>
      </c>
      <c r="I41" s="4">
        <v>82</v>
      </c>
      <c r="J41" s="4">
        <v>88</v>
      </c>
    </row>
    <row r="42" spans="1:10" x14ac:dyDescent="0.2">
      <c r="A42" s="4" t="s">
        <v>89</v>
      </c>
      <c r="B42" s="4">
        <v>1</v>
      </c>
      <c r="C42" s="4">
        <v>4.3</v>
      </c>
      <c r="D42" s="4">
        <v>107</v>
      </c>
      <c r="E42" s="4">
        <v>5.57</v>
      </c>
      <c r="F42" s="4">
        <v>121</v>
      </c>
      <c r="G42" s="4">
        <v>10.01</v>
      </c>
      <c r="H42" s="4">
        <v>126</v>
      </c>
      <c r="I42" s="4">
        <v>77</v>
      </c>
      <c r="J42" s="4">
        <v>83</v>
      </c>
    </row>
    <row r="43" spans="1:10" x14ac:dyDescent="0.2">
      <c r="A43" s="4" t="s">
        <v>90</v>
      </c>
      <c r="B43" s="4">
        <v>0</v>
      </c>
      <c r="C43" s="4">
        <v>2.41</v>
      </c>
      <c r="D43" s="4">
        <v>93</v>
      </c>
      <c r="E43" s="4">
        <v>2.66</v>
      </c>
      <c r="F43" s="4">
        <v>94</v>
      </c>
      <c r="G43" s="4">
        <v>6.26</v>
      </c>
      <c r="H43" s="4">
        <v>124</v>
      </c>
      <c r="I43" s="4">
        <v>90</v>
      </c>
      <c r="J43" s="4">
        <v>97</v>
      </c>
    </row>
    <row r="44" spans="1:10" x14ac:dyDescent="0.2">
      <c r="A44" s="4" t="s">
        <v>91</v>
      </c>
      <c r="B44" s="4">
        <v>0</v>
      </c>
      <c r="C44" s="4">
        <v>2.11</v>
      </c>
      <c r="D44" s="4">
        <v>80</v>
      </c>
      <c r="E44" s="4">
        <v>2.11</v>
      </c>
      <c r="F44" s="4">
        <v>75</v>
      </c>
      <c r="G44" s="4">
        <v>3.74</v>
      </c>
      <c r="H44" s="4">
        <v>83</v>
      </c>
      <c r="I44" s="4">
        <v>95</v>
      </c>
      <c r="J44" s="4">
        <v>98</v>
      </c>
    </row>
    <row r="45" spans="1:10" x14ac:dyDescent="0.2">
      <c r="A45" s="4" t="s">
        <v>92</v>
      </c>
      <c r="B45" s="4">
        <v>0</v>
      </c>
      <c r="C45" s="4">
        <v>3.01</v>
      </c>
      <c r="D45" s="4">
        <v>110</v>
      </c>
      <c r="E45" s="4">
        <v>3.47</v>
      </c>
      <c r="F45" s="4">
        <v>116</v>
      </c>
      <c r="G45" s="4">
        <v>6.09</v>
      </c>
      <c r="H45" s="4">
        <v>119</v>
      </c>
      <c r="I45" s="4">
        <v>86</v>
      </c>
      <c r="J45" s="4">
        <v>92</v>
      </c>
    </row>
    <row r="46" spans="1:10" x14ac:dyDescent="0.2">
      <c r="A46" s="4" t="s">
        <v>93</v>
      </c>
      <c r="B46" s="4">
        <v>0</v>
      </c>
      <c r="C46" s="4">
        <v>2.56</v>
      </c>
      <c r="D46" s="4">
        <v>80</v>
      </c>
      <c r="E46" s="4">
        <v>2.97</v>
      </c>
      <c r="F46" s="4">
        <v>79</v>
      </c>
      <c r="G46" s="4">
        <v>7.06</v>
      </c>
      <c r="H46" s="4">
        <v>98</v>
      </c>
      <c r="I46" s="4">
        <v>86</v>
      </c>
      <c r="J46" s="4">
        <v>86</v>
      </c>
    </row>
    <row r="47" spans="1:10" x14ac:dyDescent="0.2">
      <c r="A47" s="4" t="s">
        <v>94</v>
      </c>
      <c r="B47" s="4">
        <v>0</v>
      </c>
      <c r="C47" s="4">
        <v>2.7</v>
      </c>
      <c r="D47" s="4">
        <v>84</v>
      </c>
      <c r="E47" s="4">
        <v>3.4</v>
      </c>
      <c r="F47" s="4">
        <v>90</v>
      </c>
      <c r="G47" s="4">
        <v>4.96</v>
      </c>
      <c r="H47" s="4">
        <v>69</v>
      </c>
      <c r="I47" s="4">
        <v>79</v>
      </c>
      <c r="J47" s="4">
        <v>83</v>
      </c>
    </row>
    <row r="48" spans="1:10" x14ac:dyDescent="0.2">
      <c r="A48" s="4" t="s">
        <v>97</v>
      </c>
      <c r="B48" s="4">
        <v>0</v>
      </c>
      <c r="C48" s="4">
        <v>2.72</v>
      </c>
      <c r="D48" s="4">
        <v>96</v>
      </c>
      <c r="E48" s="4">
        <v>3.41</v>
      </c>
      <c r="F48" s="4">
        <v>99</v>
      </c>
      <c r="G48" s="4">
        <v>6.24</v>
      </c>
      <c r="H48" s="4">
        <v>94</v>
      </c>
      <c r="I48" s="4">
        <v>79</v>
      </c>
      <c r="J48" s="4">
        <v>98</v>
      </c>
    </row>
    <row r="49" spans="1:10" x14ac:dyDescent="0.2">
      <c r="A49" s="4" t="s">
        <v>99</v>
      </c>
      <c r="B49" s="4">
        <v>0</v>
      </c>
      <c r="C49" s="4">
        <v>2.7</v>
      </c>
      <c r="D49" s="4">
        <v>88</v>
      </c>
      <c r="E49" s="4">
        <v>3.27</v>
      </c>
      <c r="F49" s="4">
        <v>93</v>
      </c>
      <c r="G49" s="4">
        <v>6.99</v>
      </c>
      <c r="H49" s="4">
        <v>101</v>
      </c>
      <c r="I49" s="4">
        <v>82</v>
      </c>
      <c r="J49" s="4">
        <v>93</v>
      </c>
    </row>
    <row r="50" spans="1:10" x14ac:dyDescent="0.2">
      <c r="A50" s="4" t="s">
        <v>100</v>
      </c>
      <c r="B50" s="4">
        <v>0</v>
      </c>
      <c r="C50" s="4">
        <v>2.87</v>
      </c>
      <c r="D50" s="4">
        <v>91</v>
      </c>
      <c r="E50" s="4">
        <v>3.43</v>
      </c>
      <c r="F50" s="4">
        <v>96</v>
      </c>
      <c r="G50" s="4">
        <v>6.77</v>
      </c>
      <c r="H50" s="4">
        <v>97</v>
      </c>
      <c r="I50" s="4">
        <v>83</v>
      </c>
      <c r="J50" s="4">
        <v>93</v>
      </c>
    </row>
    <row r="51" spans="1:10" x14ac:dyDescent="0.2">
      <c r="A51" s="4" t="s">
        <v>101</v>
      </c>
      <c r="B51" s="4">
        <v>0</v>
      </c>
      <c r="C51" s="4">
        <v>2.86</v>
      </c>
      <c r="D51" s="4">
        <v>90</v>
      </c>
      <c r="E51" s="4">
        <v>3.38</v>
      </c>
      <c r="F51" s="4">
        <v>93</v>
      </c>
      <c r="G51" s="4">
        <v>5.52</v>
      </c>
      <c r="H51" s="4">
        <v>78</v>
      </c>
      <c r="I51" s="4">
        <v>84</v>
      </c>
      <c r="J51" s="4">
        <v>95</v>
      </c>
    </row>
    <row r="52" spans="1:10" x14ac:dyDescent="0.2">
      <c r="A52" s="4" t="s">
        <v>102</v>
      </c>
      <c r="B52" s="4">
        <v>1</v>
      </c>
      <c r="C52" s="4">
        <v>6.43</v>
      </c>
      <c r="D52" s="4">
        <v>127</v>
      </c>
      <c r="E52" s="4">
        <v>7.59</v>
      </c>
      <c r="F52" s="4">
        <v>139</v>
      </c>
      <c r="G52" s="4">
        <v>11.75</v>
      </c>
      <c r="H52" s="4">
        <v>103</v>
      </c>
      <c r="I52" s="4">
        <v>84</v>
      </c>
      <c r="J52" s="4">
        <v>89</v>
      </c>
    </row>
    <row r="53" spans="1:10" x14ac:dyDescent="0.2">
      <c r="A53" s="4" t="s">
        <v>103</v>
      </c>
      <c r="B53" s="4">
        <v>0</v>
      </c>
      <c r="C53" s="4">
        <v>3.05</v>
      </c>
      <c r="D53" s="4">
        <v>122</v>
      </c>
      <c r="E53" s="4">
        <v>3.45</v>
      </c>
      <c r="F53" s="4">
        <v>128</v>
      </c>
      <c r="G53" s="4">
        <v>6.99</v>
      </c>
      <c r="H53" s="4">
        <v>142</v>
      </c>
      <c r="I53" s="4">
        <v>88</v>
      </c>
      <c r="J53" s="4">
        <v>95</v>
      </c>
    </row>
    <row r="54" spans="1:10" x14ac:dyDescent="0.2">
      <c r="A54" s="4" t="s">
        <v>104</v>
      </c>
      <c r="B54" s="4">
        <v>0</v>
      </c>
      <c r="C54" s="4">
        <v>4.12</v>
      </c>
      <c r="D54" s="4">
        <v>130</v>
      </c>
      <c r="E54" s="4">
        <v>4.93</v>
      </c>
      <c r="F54" s="4">
        <v>142</v>
      </c>
      <c r="G54" s="4">
        <v>8.25</v>
      </c>
      <c r="H54" s="4">
        <v>140</v>
      </c>
      <c r="I54" s="4">
        <v>85</v>
      </c>
      <c r="J54" s="4">
        <v>90</v>
      </c>
    </row>
    <row r="55" spans="1:10" x14ac:dyDescent="0.2">
      <c r="A55" s="4" t="s">
        <v>105</v>
      </c>
      <c r="B55" s="4">
        <v>0</v>
      </c>
      <c r="C55" s="4">
        <v>2.27</v>
      </c>
      <c r="D55" s="4">
        <v>86</v>
      </c>
      <c r="E55" s="4">
        <v>2.62</v>
      </c>
      <c r="F55" s="4">
        <v>90</v>
      </c>
      <c r="G55" s="4">
        <v>4.43</v>
      </c>
      <c r="H55" s="4">
        <v>92</v>
      </c>
      <c r="I55" s="4">
        <v>86</v>
      </c>
      <c r="J55" s="4">
        <v>89</v>
      </c>
    </row>
    <row r="56" spans="1:10" x14ac:dyDescent="0.2">
      <c r="A56" s="4" t="s">
        <v>106</v>
      </c>
      <c r="B56" s="4">
        <v>0</v>
      </c>
      <c r="C56" s="4">
        <v>3.16</v>
      </c>
      <c r="D56" s="4">
        <v>112</v>
      </c>
      <c r="E56" s="4">
        <v>3.64</v>
      </c>
      <c r="F56" s="4">
        <v>119</v>
      </c>
      <c r="G56" s="4">
        <v>7.44</v>
      </c>
      <c r="H56" s="4">
        <v>128</v>
      </c>
      <c r="I56" s="4">
        <v>87</v>
      </c>
      <c r="J56" s="4">
        <v>94</v>
      </c>
    </row>
    <row r="57" spans="1:10" x14ac:dyDescent="0.2">
      <c r="A57" s="4" t="s">
        <v>107</v>
      </c>
      <c r="B57" s="4">
        <v>0</v>
      </c>
      <c r="C57" s="4">
        <v>3.14</v>
      </c>
      <c r="D57" s="4">
        <v>106</v>
      </c>
      <c r="E57" s="4">
        <v>3.55</v>
      </c>
      <c r="F57" s="4">
        <v>111</v>
      </c>
      <c r="G57" s="4">
        <v>5.38</v>
      </c>
      <c r="H57" s="4">
        <v>98</v>
      </c>
      <c r="I57" s="4">
        <v>88</v>
      </c>
      <c r="J57" s="4">
        <v>91</v>
      </c>
    </row>
    <row r="58" spans="1:10" x14ac:dyDescent="0.2">
      <c r="A58" s="4" t="s">
        <v>108</v>
      </c>
      <c r="B58" s="4">
        <v>0</v>
      </c>
      <c r="C58" s="4">
        <v>3.54</v>
      </c>
      <c r="D58" s="4">
        <v>116</v>
      </c>
      <c r="E58" s="4">
        <v>4.25</v>
      </c>
      <c r="F58" s="4">
        <v>128</v>
      </c>
      <c r="G58" s="4">
        <v>7.4</v>
      </c>
      <c r="H58" s="4">
        <v>127</v>
      </c>
      <c r="I58" s="4">
        <v>83</v>
      </c>
      <c r="J58" s="4">
        <v>89</v>
      </c>
    </row>
    <row r="59" spans="1:10" x14ac:dyDescent="0.2">
      <c r="A59" s="4" t="s">
        <v>109</v>
      </c>
      <c r="B59" s="4">
        <v>0</v>
      </c>
      <c r="C59" s="4">
        <v>2.1800000000000002</v>
      </c>
      <c r="D59" s="4">
        <v>83</v>
      </c>
      <c r="E59" s="4">
        <v>2.89</v>
      </c>
      <c r="F59" s="4">
        <v>92</v>
      </c>
      <c r="G59" s="4">
        <v>3.75</v>
      </c>
      <c r="H59" s="4">
        <v>80</v>
      </c>
      <c r="I59" s="4">
        <v>75</v>
      </c>
      <c r="J59" s="4">
        <v>91</v>
      </c>
    </row>
    <row r="60" spans="1:10" x14ac:dyDescent="0.2">
      <c r="A60" s="4" t="s">
        <v>111</v>
      </c>
      <c r="B60" s="4">
        <v>0</v>
      </c>
      <c r="C60" s="4">
        <v>3.08</v>
      </c>
      <c r="D60" s="4">
        <v>100</v>
      </c>
      <c r="E60" s="4">
        <v>3.62</v>
      </c>
      <c r="F60" s="4">
        <v>109</v>
      </c>
      <c r="G60" s="4">
        <v>6.17</v>
      </c>
      <c r="H60" s="4">
        <v>102</v>
      </c>
      <c r="I60" s="4">
        <v>85</v>
      </c>
      <c r="J60" s="4">
        <v>91</v>
      </c>
    </row>
    <row r="61" spans="1:10" x14ac:dyDescent="0.2">
      <c r="A61" s="4" t="s">
        <v>112</v>
      </c>
      <c r="B61" s="4">
        <v>0</v>
      </c>
      <c r="C61" s="4">
        <v>3.37</v>
      </c>
      <c r="D61" s="4">
        <v>122</v>
      </c>
      <c r="E61" s="4">
        <v>3.69</v>
      </c>
      <c r="F61" s="4">
        <v>124</v>
      </c>
      <c r="G61" s="4">
        <v>7.35</v>
      </c>
      <c r="H61" s="4">
        <v>134</v>
      </c>
      <c r="I61" s="4">
        <v>91</v>
      </c>
      <c r="J61" s="4">
        <v>98</v>
      </c>
    </row>
    <row r="62" spans="1:10" x14ac:dyDescent="0.2">
      <c r="A62" s="4" t="s">
        <v>113</v>
      </c>
      <c r="B62" s="4">
        <v>0</v>
      </c>
      <c r="C62" s="4">
        <v>2.8</v>
      </c>
      <c r="D62" s="4">
        <v>106</v>
      </c>
      <c r="E62" s="4">
        <v>3.06</v>
      </c>
      <c r="F62" s="4">
        <v>107</v>
      </c>
      <c r="G62" s="4">
        <v>5.42</v>
      </c>
      <c r="H62" s="4">
        <v>109</v>
      </c>
      <c r="I62" s="4">
        <v>91</v>
      </c>
      <c r="J62" s="4">
        <v>98</v>
      </c>
    </row>
    <row r="63" spans="1:10" x14ac:dyDescent="0.2">
      <c r="A63" s="4" t="s">
        <v>114</v>
      </c>
      <c r="B63" s="4">
        <v>0</v>
      </c>
      <c r="C63" s="4">
        <v>3.9</v>
      </c>
      <c r="D63" s="4">
        <v>89</v>
      </c>
      <c r="E63" s="4">
        <v>4.57</v>
      </c>
      <c r="F63" s="4">
        <v>96</v>
      </c>
      <c r="G63" s="4">
        <v>9.1</v>
      </c>
      <c r="H63" s="4">
        <v>90</v>
      </c>
      <c r="I63" s="4">
        <v>85</v>
      </c>
      <c r="J63" s="4">
        <v>90</v>
      </c>
    </row>
    <row r="64" spans="1:10" x14ac:dyDescent="0.2">
      <c r="A64" s="4" t="s">
        <v>115</v>
      </c>
      <c r="B64" s="4">
        <v>0</v>
      </c>
      <c r="C64" s="4">
        <v>2.5</v>
      </c>
      <c r="D64" s="4">
        <v>81</v>
      </c>
      <c r="E64" s="4">
        <v>2.74</v>
      </c>
      <c r="F64" s="4">
        <v>79</v>
      </c>
      <c r="G64" s="4">
        <v>7.71</v>
      </c>
      <c r="H64" s="4">
        <v>112</v>
      </c>
      <c r="I64" s="4">
        <v>2.5</v>
      </c>
      <c r="J64" s="4">
        <v>81</v>
      </c>
    </row>
    <row r="65" spans="1:10" x14ac:dyDescent="0.2">
      <c r="A65" s="4" t="s">
        <v>116</v>
      </c>
      <c r="B65" s="4">
        <v>0</v>
      </c>
      <c r="C65" s="4">
        <v>2.39</v>
      </c>
      <c r="D65" s="4">
        <v>80</v>
      </c>
      <c r="E65" s="4">
        <v>2.87</v>
      </c>
      <c r="F65" s="4">
        <v>81</v>
      </c>
      <c r="G65" s="4">
        <v>7.12</v>
      </c>
      <c r="H65" s="4">
        <v>105</v>
      </c>
      <c r="I65" s="4">
        <v>83</v>
      </c>
      <c r="J65" s="4">
        <v>99</v>
      </c>
    </row>
    <row r="66" spans="1:10" x14ac:dyDescent="0.2">
      <c r="A66" s="4" t="s">
        <v>117</v>
      </c>
      <c r="B66" s="4">
        <v>1</v>
      </c>
      <c r="C66" s="4">
        <v>3.94</v>
      </c>
      <c r="D66" s="4">
        <v>108</v>
      </c>
      <c r="E66" s="4">
        <v>5.52</v>
      </c>
      <c r="F66" s="4">
        <v>134</v>
      </c>
      <c r="G66" s="4">
        <v>10.18</v>
      </c>
      <c r="H66" s="4">
        <v>138</v>
      </c>
      <c r="I66" s="4">
        <v>71</v>
      </c>
      <c r="J66" s="4">
        <v>76</v>
      </c>
    </row>
    <row r="67" spans="1:10" x14ac:dyDescent="0.2">
      <c r="A67" s="4" t="s">
        <v>118</v>
      </c>
      <c r="B67" s="4">
        <v>0</v>
      </c>
      <c r="C67" s="4">
        <v>3.13</v>
      </c>
      <c r="D67" s="4">
        <v>120</v>
      </c>
      <c r="E67" s="4">
        <v>3.44</v>
      </c>
      <c r="F67" s="4">
        <v>122</v>
      </c>
      <c r="G67" s="4">
        <v>6.93</v>
      </c>
      <c r="H67" s="4">
        <v>131</v>
      </c>
      <c r="I67" s="4">
        <v>90</v>
      </c>
      <c r="J67" s="4">
        <v>97</v>
      </c>
    </row>
    <row r="68" spans="1:10" s="4" customFormat="1" x14ac:dyDescent="0.2">
      <c r="A68" s="4" t="s">
        <v>119</v>
      </c>
      <c r="B68" s="4">
        <v>0</v>
      </c>
      <c r="C68" s="4">
        <v>3.12</v>
      </c>
      <c r="D68" s="4">
        <v>80</v>
      </c>
      <c r="E68" s="4">
        <v>2.66</v>
      </c>
      <c r="F68" s="4">
        <v>70</v>
      </c>
      <c r="G68" s="4">
        <v>5.44</v>
      </c>
      <c r="H68" s="4">
        <v>55</v>
      </c>
      <c r="I68" s="4">
        <v>90</v>
      </c>
      <c r="J68" s="4">
        <v>97</v>
      </c>
    </row>
    <row r="69" spans="1:10" x14ac:dyDescent="0.2">
      <c r="A69" s="4" t="s">
        <v>120</v>
      </c>
      <c r="B69" s="4">
        <v>0</v>
      </c>
      <c r="C69" s="4">
        <v>3.61</v>
      </c>
      <c r="D69" s="4">
        <v>119</v>
      </c>
      <c r="E69" s="4">
        <v>4.13</v>
      </c>
      <c r="F69" s="4">
        <v>125</v>
      </c>
      <c r="G69" s="4">
        <v>4.66</v>
      </c>
      <c r="H69" s="4">
        <v>80</v>
      </c>
      <c r="I69" s="4">
        <v>87</v>
      </c>
      <c r="J69" s="4">
        <v>94</v>
      </c>
    </row>
    <row r="70" spans="1:10" x14ac:dyDescent="0.2">
      <c r="A70" s="4" t="s">
        <v>121</v>
      </c>
      <c r="B70" s="4">
        <v>0</v>
      </c>
      <c r="C70" s="4">
        <v>3.01</v>
      </c>
      <c r="D70" s="4">
        <v>121</v>
      </c>
      <c r="E70" s="4">
        <v>3.35</v>
      </c>
      <c r="F70" s="4">
        <v>124</v>
      </c>
      <c r="G70" s="4">
        <v>3.8</v>
      </c>
      <c r="H70" s="4">
        <v>76</v>
      </c>
      <c r="I70" s="4">
        <v>89</v>
      </c>
      <c r="J70" s="4">
        <v>96</v>
      </c>
    </row>
    <row r="71" spans="1:10" x14ac:dyDescent="0.2">
      <c r="A71" s="4" t="s">
        <v>122</v>
      </c>
      <c r="B71" s="4">
        <v>0</v>
      </c>
      <c r="C71" s="4">
        <v>2.4900000000000002</v>
      </c>
      <c r="D71" s="4">
        <v>103</v>
      </c>
      <c r="E71" s="4">
        <v>2.85</v>
      </c>
      <c r="F71" s="4">
        <v>106</v>
      </c>
      <c r="G71" s="4">
        <v>5.28</v>
      </c>
      <c r="H71" s="4">
        <v>119</v>
      </c>
      <c r="I71" s="4">
        <v>87</v>
      </c>
      <c r="J71" s="4">
        <v>90</v>
      </c>
    </row>
    <row r="72" spans="1:10" x14ac:dyDescent="0.2">
      <c r="A72" s="4" t="s">
        <v>124</v>
      </c>
      <c r="B72" s="4">
        <v>1</v>
      </c>
      <c r="C72" s="4">
        <v>3.68</v>
      </c>
      <c r="D72" s="4">
        <v>83</v>
      </c>
      <c r="E72" s="4">
        <v>3.95</v>
      </c>
      <c r="F72" s="4">
        <v>81</v>
      </c>
      <c r="G72" s="4">
        <v>7.05</v>
      </c>
      <c r="H72" s="4">
        <v>72</v>
      </c>
      <c r="I72" s="4">
        <v>93</v>
      </c>
      <c r="J72" s="4">
        <v>99</v>
      </c>
    </row>
    <row r="73" spans="1:10" x14ac:dyDescent="0.2">
      <c r="A73" s="4" t="s">
        <v>125</v>
      </c>
      <c r="B73" s="4">
        <v>0</v>
      </c>
      <c r="C73" s="4">
        <v>2.17</v>
      </c>
      <c r="D73" s="4">
        <v>75</v>
      </c>
      <c r="E73" s="4">
        <v>2.77</v>
      </c>
      <c r="F73" s="4">
        <v>84</v>
      </c>
      <c r="G73" s="4">
        <v>5.22</v>
      </c>
      <c r="H73" s="4">
        <v>79</v>
      </c>
      <c r="I73" s="4">
        <v>78</v>
      </c>
      <c r="J73" s="4">
        <v>90</v>
      </c>
    </row>
    <row r="74" spans="1:10" x14ac:dyDescent="0.2">
      <c r="A74" s="4" t="s">
        <v>126</v>
      </c>
      <c r="B74" s="4">
        <v>1</v>
      </c>
      <c r="C74" s="4">
        <v>4.1900000000000004</v>
      </c>
      <c r="D74" s="4">
        <v>87</v>
      </c>
      <c r="E74" s="4">
        <v>4.87</v>
      </c>
      <c r="F74" s="4">
        <v>90</v>
      </c>
      <c r="G74" s="4">
        <v>13.1</v>
      </c>
      <c r="H74" s="4">
        <v>130</v>
      </c>
      <c r="I74" s="4">
        <v>85</v>
      </c>
      <c r="J74" s="4">
        <v>90</v>
      </c>
    </row>
    <row r="75" spans="1:10" x14ac:dyDescent="0.2">
      <c r="A75" s="4" t="s">
        <v>130</v>
      </c>
      <c r="B75" s="4">
        <v>0</v>
      </c>
      <c r="C75" s="4">
        <v>2.98</v>
      </c>
      <c r="D75" s="4">
        <v>94</v>
      </c>
      <c r="E75" s="4">
        <v>3.47</v>
      </c>
      <c r="F75" s="4">
        <v>95</v>
      </c>
      <c r="G75" s="4">
        <v>7.76</v>
      </c>
      <c r="H75" s="4">
        <v>110</v>
      </c>
      <c r="I75" s="4">
        <v>85</v>
      </c>
      <c r="J75" s="4">
        <v>96</v>
      </c>
    </row>
    <row r="76" spans="1:10" x14ac:dyDescent="0.2">
      <c r="A76" s="4" t="s">
        <v>132</v>
      </c>
      <c r="B76" s="4">
        <v>0</v>
      </c>
      <c r="C76" s="4">
        <v>3.38</v>
      </c>
      <c r="D76" s="4">
        <v>113</v>
      </c>
      <c r="E76" s="4">
        <v>4.03</v>
      </c>
      <c r="F76" s="4">
        <v>124</v>
      </c>
      <c r="G76" s="4">
        <v>5.63</v>
      </c>
      <c r="H76" s="4">
        <v>99</v>
      </c>
      <c r="I76" s="4">
        <v>83</v>
      </c>
      <c r="J76" s="4">
        <v>89</v>
      </c>
    </row>
    <row r="77" spans="1:10" x14ac:dyDescent="0.2">
      <c r="A77" s="4" t="s">
        <v>133</v>
      </c>
      <c r="B77" s="4">
        <v>0</v>
      </c>
      <c r="C77" s="4">
        <v>2.13</v>
      </c>
      <c r="D77" s="4">
        <v>81</v>
      </c>
      <c r="E77" s="4">
        <v>2.4900000000000002</v>
      </c>
      <c r="F77" s="4">
        <v>80</v>
      </c>
      <c r="G77" s="4">
        <v>5.64</v>
      </c>
      <c r="H77" s="4">
        <v>90</v>
      </c>
      <c r="I77" s="4">
        <v>85</v>
      </c>
      <c r="J77" s="4">
        <v>105</v>
      </c>
    </row>
    <row r="78" spans="1:10" x14ac:dyDescent="0.2">
      <c r="A78" s="4" t="s">
        <v>135</v>
      </c>
      <c r="B78" s="4">
        <v>0</v>
      </c>
      <c r="C78" s="4">
        <v>3.56</v>
      </c>
      <c r="D78" s="4">
        <v>115</v>
      </c>
      <c r="E78" s="4">
        <v>3.95</v>
      </c>
      <c r="F78" s="4">
        <v>117</v>
      </c>
      <c r="G78" s="4">
        <v>8.25</v>
      </c>
      <c r="H78" s="4">
        <v>146</v>
      </c>
      <c r="I78" s="4">
        <v>90</v>
      </c>
      <c r="J78" s="4">
        <v>93</v>
      </c>
    </row>
    <row r="79" spans="1:10" x14ac:dyDescent="0.2">
      <c r="A79" s="4" t="s">
        <v>136</v>
      </c>
      <c r="B79" s="4">
        <v>0</v>
      </c>
      <c r="C79" s="4">
        <v>3.24</v>
      </c>
      <c r="D79" s="4">
        <v>93</v>
      </c>
      <c r="E79" s="4">
        <v>4.13</v>
      </c>
      <c r="F79" s="4">
        <v>106</v>
      </c>
      <c r="G79" s="4">
        <v>6.54</v>
      </c>
      <c r="H79" s="4">
        <v>111</v>
      </c>
      <c r="I79" s="4">
        <v>78</v>
      </c>
      <c r="J79" s="4">
        <v>80</v>
      </c>
    </row>
    <row r="80" spans="1:10" x14ac:dyDescent="0.2">
      <c r="A80" s="4" t="s">
        <v>139</v>
      </c>
      <c r="B80" s="4">
        <v>1</v>
      </c>
      <c r="C80" s="4">
        <v>3.44</v>
      </c>
      <c r="D80" s="4">
        <v>89</v>
      </c>
      <c r="E80" s="4">
        <v>4.6500000000000004</v>
      </c>
      <c r="F80" s="4">
        <v>104</v>
      </c>
      <c r="G80" s="4">
        <v>7.95</v>
      </c>
      <c r="H80" s="4">
        <v>98</v>
      </c>
      <c r="I80" s="4">
        <v>73</v>
      </c>
      <c r="J80" s="4">
        <v>82</v>
      </c>
    </row>
    <row r="81" spans="1:10" x14ac:dyDescent="0.2">
      <c r="A81" s="4" t="s">
        <v>140</v>
      </c>
      <c r="B81" s="4">
        <v>0</v>
      </c>
      <c r="C81" s="4">
        <v>2.59</v>
      </c>
      <c r="D81" s="4">
        <v>83</v>
      </c>
      <c r="E81" s="4">
        <v>3.07</v>
      </c>
      <c r="F81" s="4">
        <v>89</v>
      </c>
      <c r="G81" s="4">
        <v>4.54</v>
      </c>
      <c r="H81" s="4">
        <v>82</v>
      </c>
      <c r="I81" s="4">
        <v>84</v>
      </c>
      <c r="J81" s="4">
        <v>86</v>
      </c>
    </row>
    <row r="82" spans="1:10" x14ac:dyDescent="0.2">
      <c r="A82" s="4" t="s">
        <v>144</v>
      </c>
      <c r="B82" s="4">
        <v>1</v>
      </c>
      <c r="C82" s="4">
        <v>4.76</v>
      </c>
      <c r="D82" s="4">
        <v>128</v>
      </c>
      <c r="E82" s="4">
        <v>4.72</v>
      </c>
      <c r="F82" s="4">
        <v>129</v>
      </c>
      <c r="G82" s="4">
        <v>8.25</v>
      </c>
      <c r="H82" s="4">
        <v>123</v>
      </c>
      <c r="I82" s="4">
        <v>88</v>
      </c>
      <c r="J82" s="4">
        <v>95</v>
      </c>
    </row>
    <row r="83" spans="1:10" x14ac:dyDescent="0.2">
      <c r="A83" s="4" t="s">
        <v>145</v>
      </c>
      <c r="B83" s="4">
        <v>0</v>
      </c>
      <c r="C83" s="4">
        <v>2.4500000000000002</v>
      </c>
      <c r="D83" s="4">
        <v>82</v>
      </c>
      <c r="E83" s="4">
        <v>3.05</v>
      </c>
      <c r="F83" s="4">
        <v>90</v>
      </c>
      <c r="G83" s="4">
        <v>6.47</v>
      </c>
      <c r="H83" s="4">
        <v>96</v>
      </c>
      <c r="I83" s="4">
        <v>80</v>
      </c>
      <c r="J83" s="4">
        <v>91</v>
      </c>
    </row>
    <row r="84" spans="1:10" x14ac:dyDescent="0.2">
      <c r="A84" s="4" t="s">
        <v>146</v>
      </c>
      <c r="B84" s="4">
        <v>0</v>
      </c>
      <c r="C84" s="4">
        <v>3.34</v>
      </c>
      <c r="D84" s="4">
        <v>99</v>
      </c>
      <c r="E84" s="4">
        <v>3.9</v>
      </c>
      <c r="F84" s="4">
        <v>99</v>
      </c>
      <c r="G84" s="4">
        <v>7.71</v>
      </c>
      <c r="H84" s="4">
        <v>104</v>
      </c>
      <c r="I84" s="4">
        <v>85</v>
      </c>
      <c r="J84" s="4">
        <v>99</v>
      </c>
    </row>
    <row r="85" spans="1:10" x14ac:dyDescent="0.2">
      <c r="A85" s="4" t="s">
        <v>149</v>
      </c>
      <c r="B85" s="4">
        <v>1</v>
      </c>
      <c r="C85" s="4">
        <v>3.91</v>
      </c>
      <c r="D85" s="4">
        <v>95</v>
      </c>
      <c r="E85" s="4">
        <v>4.67</v>
      </c>
      <c r="F85" s="4">
        <v>104</v>
      </c>
      <c r="G85" s="4">
        <v>9.1999999999999993</v>
      </c>
      <c r="H85" s="4">
        <v>96</v>
      </c>
      <c r="I85" s="4">
        <v>83</v>
      </c>
      <c r="J85" s="4">
        <v>88</v>
      </c>
    </row>
    <row r="86" spans="1:10" x14ac:dyDescent="0.2">
      <c r="A86" s="4" t="s">
        <v>150</v>
      </c>
      <c r="B86" s="4">
        <v>0</v>
      </c>
      <c r="C86" s="4">
        <v>3.29</v>
      </c>
      <c r="D86" s="4">
        <v>110</v>
      </c>
      <c r="E86" s="4">
        <v>3.78</v>
      </c>
      <c r="F86" s="4">
        <v>116</v>
      </c>
      <c r="G86" s="4">
        <v>7.09</v>
      </c>
      <c r="H86" s="4">
        <v>126</v>
      </c>
      <c r="I86" s="4">
        <v>87</v>
      </c>
      <c r="J86" s="4">
        <v>94</v>
      </c>
    </row>
    <row r="87" spans="1:10" x14ac:dyDescent="0.2">
      <c r="A87" s="4" t="s">
        <v>151</v>
      </c>
      <c r="B87" s="4">
        <v>1</v>
      </c>
      <c r="C87" s="4">
        <v>4.34</v>
      </c>
      <c r="D87" s="4">
        <v>116</v>
      </c>
      <c r="E87" s="4">
        <v>5.04</v>
      </c>
      <c r="F87" s="4">
        <v>118</v>
      </c>
      <c r="G87" s="4">
        <v>12.11</v>
      </c>
      <c r="H87" s="4">
        <v>161</v>
      </c>
      <c r="I87" s="4">
        <v>86</v>
      </c>
      <c r="J87" s="4">
        <v>92</v>
      </c>
    </row>
    <row r="88" spans="1:10" x14ac:dyDescent="0.2">
      <c r="A88" s="4" t="s">
        <v>152</v>
      </c>
      <c r="B88" s="4">
        <v>0</v>
      </c>
      <c r="C88" s="4">
        <v>3.46</v>
      </c>
      <c r="D88" s="4">
        <v>110</v>
      </c>
      <c r="E88" s="4">
        <v>4.3600000000000003</v>
      </c>
      <c r="F88" s="4">
        <v>126</v>
      </c>
      <c r="G88" s="4">
        <v>8.3800000000000008</v>
      </c>
      <c r="H88" s="4">
        <v>152</v>
      </c>
      <c r="I88" s="4">
        <v>79</v>
      </c>
      <c r="J88" s="4">
        <v>82</v>
      </c>
    </row>
    <row r="89" spans="1:10" x14ac:dyDescent="0.2">
      <c r="A89" s="4" t="s">
        <v>154</v>
      </c>
      <c r="B89" s="4">
        <v>0</v>
      </c>
      <c r="C89" s="4">
        <v>2.4300000000000002</v>
      </c>
      <c r="D89" s="4">
        <v>89</v>
      </c>
      <c r="E89" s="4">
        <v>2.69</v>
      </c>
      <c r="F89" s="4">
        <v>89</v>
      </c>
      <c r="G89" s="4">
        <v>5.99</v>
      </c>
      <c r="H89" s="4">
        <v>120</v>
      </c>
      <c r="I89" s="4">
        <v>90</v>
      </c>
      <c r="J89" s="4">
        <v>93</v>
      </c>
    </row>
    <row r="90" spans="1:10" x14ac:dyDescent="0.2">
      <c r="A90" s="4" t="s">
        <v>155</v>
      </c>
      <c r="B90" s="4">
        <v>1</v>
      </c>
      <c r="C90" s="4">
        <v>3.7</v>
      </c>
      <c r="D90" s="4">
        <v>86</v>
      </c>
      <c r="E90" s="4">
        <v>5.17</v>
      </c>
      <c r="F90" s="4">
        <v>103</v>
      </c>
      <c r="G90" s="4">
        <v>9.9700000000000006</v>
      </c>
      <c r="H90" s="4">
        <v>104</v>
      </c>
      <c r="I90" s="4">
        <v>71</v>
      </c>
      <c r="J90" s="4">
        <v>82</v>
      </c>
    </row>
    <row r="91" spans="1:10" x14ac:dyDescent="0.2">
      <c r="A91" s="4" t="s">
        <v>157</v>
      </c>
      <c r="B91" s="4">
        <v>1</v>
      </c>
      <c r="C91" s="4">
        <v>4.58</v>
      </c>
      <c r="D91" s="4">
        <v>87</v>
      </c>
      <c r="E91" s="4">
        <v>5.88</v>
      </c>
      <c r="F91" s="4">
        <v>99</v>
      </c>
      <c r="G91" s="4">
        <v>8.49</v>
      </c>
      <c r="H91" s="4">
        <v>80</v>
      </c>
      <c r="I91" s="4">
        <v>78</v>
      </c>
      <c r="J91" s="4">
        <v>83</v>
      </c>
    </row>
    <row r="92" spans="1:10" x14ac:dyDescent="0.2">
      <c r="A92" s="4" t="s">
        <v>159</v>
      </c>
      <c r="B92" s="4">
        <v>0</v>
      </c>
      <c r="C92" s="4">
        <v>2.72</v>
      </c>
      <c r="D92" s="4">
        <v>88</v>
      </c>
      <c r="E92" s="4">
        <v>3.15</v>
      </c>
      <c r="F92" s="4">
        <v>88</v>
      </c>
      <c r="G92" s="4">
        <v>4.3499999999999996</v>
      </c>
      <c r="H92" s="4">
        <v>63</v>
      </c>
      <c r="I92" s="4">
        <v>86</v>
      </c>
      <c r="J92" s="4">
        <v>100</v>
      </c>
    </row>
    <row r="93" spans="1:10" x14ac:dyDescent="0.2">
      <c r="A93" s="4" t="s">
        <v>160</v>
      </c>
      <c r="B93" s="4">
        <v>0</v>
      </c>
      <c r="C93" s="4">
        <v>2.85</v>
      </c>
      <c r="D93" s="4">
        <v>93</v>
      </c>
      <c r="E93" s="4">
        <v>3.32</v>
      </c>
      <c r="F93" s="4">
        <v>92</v>
      </c>
      <c r="G93" s="4">
        <v>5.22</v>
      </c>
      <c r="H93" s="4">
        <v>76</v>
      </c>
      <c r="I93" s="4">
        <v>85</v>
      </c>
      <c r="J93" s="4">
        <v>101</v>
      </c>
    </row>
    <row r="94" spans="1:10" x14ac:dyDescent="0.2">
      <c r="A94" s="4" t="s">
        <v>161</v>
      </c>
      <c r="B94" s="4">
        <v>0</v>
      </c>
      <c r="C94" s="4">
        <v>2.57</v>
      </c>
      <c r="D94" s="4">
        <v>88</v>
      </c>
      <c r="E94" s="4">
        <v>2.87</v>
      </c>
      <c r="F94" s="4">
        <v>90</v>
      </c>
      <c r="G94" s="4">
        <v>4.79</v>
      </c>
      <c r="H94" s="4">
        <v>91</v>
      </c>
      <c r="I94" s="4">
        <v>89</v>
      </c>
      <c r="J94" s="4">
        <v>96</v>
      </c>
    </row>
    <row r="95" spans="1:10" x14ac:dyDescent="0.2">
      <c r="A95" s="4" t="s">
        <v>163</v>
      </c>
      <c r="B95" s="4">
        <v>0</v>
      </c>
      <c r="C95" s="4">
        <v>3.61</v>
      </c>
      <c r="D95" s="4">
        <v>100</v>
      </c>
      <c r="E95" s="4">
        <v>4.2300000000000004</v>
      </c>
      <c r="F95" s="4">
        <v>102</v>
      </c>
      <c r="G95" s="4">
        <v>7.08</v>
      </c>
      <c r="H95" s="4">
        <v>91</v>
      </c>
      <c r="I95" s="4">
        <v>85</v>
      </c>
      <c r="J95" s="4">
        <v>96</v>
      </c>
    </row>
    <row r="96" spans="1:10" s="4" customFormat="1" x14ac:dyDescent="0.2">
      <c r="A96" s="4" t="s">
        <v>164</v>
      </c>
      <c r="B96" s="4">
        <v>0</v>
      </c>
      <c r="C96" s="4">
        <v>2.54</v>
      </c>
      <c r="D96" s="4">
        <v>80</v>
      </c>
      <c r="E96" s="4">
        <v>2.86</v>
      </c>
      <c r="F96" s="4">
        <v>76</v>
      </c>
      <c r="G96" s="4">
        <v>5.9</v>
      </c>
      <c r="H96" s="4">
        <v>81</v>
      </c>
      <c r="I96" s="4">
        <v>88</v>
      </c>
      <c r="J96" s="4">
        <v>100</v>
      </c>
    </row>
    <row r="97" spans="1:10" x14ac:dyDescent="0.2">
      <c r="A97" s="4" t="s">
        <v>165</v>
      </c>
      <c r="B97" s="4">
        <v>0</v>
      </c>
      <c r="C97" s="4">
        <v>3.12</v>
      </c>
      <c r="D97" s="4">
        <v>89</v>
      </c>
      <c r="E97" s="4">
        <v>2.54</v>
      </c>
      <c r="F97" s="4">
        <v>87</v>
      </c>
      <c r="G97" s="4">
        <v>4.7</v>
      </c>
      <c r="H97" s="4">
        <v>90</v>
      </c>
      <c r="I97" s="4">
        <v>98</v>
      </c>
      <c r="J97" s="4">
        <v>102</v>
      </c>
    </row>
    <row r="98" spans="1:10" x14ac:dyDescent="0.2">
      <c r="A98" s="4" t="s">
        <v>166</v>
      </c>
      <c r="B98" s="4">
        <v>0</v>
      </c>
      <c r="C98" s="4">
        <v>2.99</v>
      </c>
      <c r="D98" s="4">
        <v>126</v>
      </c>
      <c r="E98" s="4">
        <v>3.16</v>
      </c>
      <c r="F98" s="4">
        <v>123</v>
      </c>
      <c r="G98" s="4">
        <v>6.66</v>
      </c>
      <c r="H98" s="4">
        <v>141</v>
      </c>
      <c r="I98" s="4">
        <v>94</v>
      </c>
      <c r="J98" s="4">
        <v>101</v>
      </c>
    </row>
    <row r="99" spans="1:10" x14ac:dyDescent="0.2">
      <c r="A99" s="4" t="s">
        <v>167</v>
      </c>
      <c r="B99" s="4">
        <v>0</v>
      </c>
      <c r="C99" s="4">
        <v>3.82</v>
      </c>
      <c r="D99" s="4">
        <v>132</v>
      </c>
      <c r="E99" s="4">
        <v>4.29</v>
      </c>
      <c r="F99" s="4">
        <v>138</v>
      </c>
      <c r="G99" s="4">
        <v>6.36</v>
      </c>
      <c r="H99" s="4">
        <v>110</v>
      </c>
      <c r="I99" s="4">
        <v>88</v>
      </c>
      <c r="J99" s="4">
        <v>95</v>
      </c>
    </row>
    <row r="100" spans="1:10" x14ac:dyDescent="0.2">
      <c r="A100" s="4" t="s">
        <v>169</v>
      </c>
      <c r="B100" s="4">
        <v>0</v>
      </c>
      <c r="C100" s="4">
        <v>3.21</v>
      </c>
      <c r="D100" s="4">
        <v>119</v>
      </c>
      <c r="E100" s="4">
        <v>3.43</v>
      </c>
      <c r="F100" s="4">
        <v>118</v>
      </c>
      <c r="G100" s="4">
        <v>7.28</v>
      </c>
      <c r="H100" s="4">
        <v>137</v>
      </c>
      <c r="I100" s="4">
        <v>93</v>
      </c>
      <c r="J100" s="4">
        <v>100</v>
      </c>
    </row>
    <row r="101" spans="1:10" x14ac:dyDescent="0.2">
      <c r="A101" s="4" t="s">
        <v>170</v>
      </c>
      <c r="B101" s="4">
        <v>0</v>
      </c>
      <c r="C101" s="4">
        <v>3.44</v>
      </c>
      <c r="D101" s="4">
        <v>115</v>
      </c>
      <c r="E101" s="4">
        <v>3.52</v>
      </c>
      <c r="F101" s="4">
        <v>109</v>
      </c>
      <c r="G101" s="4">
        <v>7.83</v>
      </c>
      <c r="H101" s="4">
        <v>133</v>
      </c>
      <c r="I101" s="4">
        <v>94</v>
      </c>
      <c r="J101" s="4">
        <v>100</v>
      </c>
    </row>
    <row r="102" spans="1:10" x14ac:dyDescent="0.2">
      <c r="A102" s="4" t="s">
        <v>171</v>
      </c>
      <c r="B102" s="4">
        <v>0</v>
      </c>
      <c r="C102" s="4">
        <v>2.95</v>
      </c>
      <c r="D102" s="4">
        <v>97</v>
      </c>
      <c r="E102" s="4">
        <v>3.44</v>
      </c>
      <c r="F102" s="4">
        <v>97</v>
      </c>
      <c r="G102" s="4">
        <v>7.74</v>
      </c>
      <c r="H102" s="4">
        <v>113</v>
      </c>
      <c r="I102" s="4">
        <v>85</v>
      </c>
      <c r="J102" s="4">
        <v>99</v>
      </c>
    </row>
    <row r="103" spans="1:10" x14ac:dyDescent="0.2">
      <c r="A103" s="4" t="s">
        <v>165</v>
      </c>
      <c r="B103" s="4">
        <v>0</v>
      </c>
      <c r="C103" s="4">
        <v>3.3</v>
      </c>
      <c r="D103" s="4">
        <v>121</v>
      </c>
      <c r="E103" s="4">
        <v>4.1100000000000003</v>
      </c>
      <c r="F103" s="4">
        <v>135</v>
      </c>
      <c r="G103" s="4">
        <v>6.07</v>
      </c>
      <c r="H103" s="4">
        <v>113</v>
      </c>
      <c r="I103" s="4">
        <v>82</v>
      </c>
      <c r="J103" s="4">
        <v>88</v>
      </c>
    </row>
    <row r="104" spans="1:10" x14ac:dyDescent="0.2">
      <c r="A104" s="4" t="s">
        <v>172</v>
      </c>
      <c r="B104" s="4">
        <v>0</v>
      </c>
      <c r="C104" s="4">
        <v>3.05</v>
      </c>
      <c r="D104" s="4">
        <v>112</v>
      </c>
      <c r="E104" s="4">
        <v>3.58</v>
      </c>
      <c r="F104" s="4">
        <v>122</v>
      </c>
      <c r="G104" s="4">
        <v>5.51</v>
      </c>
      <c r="H104" s="4">
        <v>107</v>
      </c>
      <c r="I104" s="4">
        <v>85</v>
      </c>
      <c r="J104" s="4">
        <v>91</v>
      </c>
    </row>
    <row r="105" spans="1:10" s="4" customFormat="1" x14ac:dyDescent="0.2">
      <c r="A105" s="4" t="s">
        <v>173</v>
      </c>
      <c r="B105" s="4">
        <v>0</v>
      </c>
      <c r="C105" s="4">
        <v>2.98</v>
      </c>
      <c r="D105" s="4">
        <v>100</v>
      </c>
      <c r="E105" s="4">
        <v>3.67</v>
      </c>
      <c r="F105" s="4">
        <v>114</v>
      </c>
      <c r="G105" s="4">
        <v>5.54</v>
      </c>
      <c r="H105" s="4">
        <v>92</v>
      </c>
      <c r="I105" s="4">
        <v>81</v>
      </c>
      <c r="J105" s="4">
        <v>87</v>
      </c>
    </row>
    <row r="106" spans="1:10" x14ac:dyDescent="0.2">
      <c r="A106" s="4" t="s">
        <v>175</v>
      </c>
      <c r="B106" s="4">
        <v>1</v>
      </c>
      <c r="C106" s="4">
        <v>3.89</v>
      </c>
      <c r="D106" s="4">
        <v>122</v>
      </c>
      <c r="E106" s="4">
        <v>4.13</v>
      </c>
      <c r="F106" s="4">
        <v>115</v>
      </c>
      <c r="G106" s="4">
        <v>7.58</v>
      </c>
      <c r="H106" s="4">
        <v>114</v>
      </c>
      <c r="I106" s="4">
        <v>94</v>
      </c>
      <c r="J106" s="4">
        <v>101</v>
      </c>
    </row>
    <row r="107" spans="1:10" x14ac:dyDescent="0.2">
      <c r="A107" s="4" t="s">
        <v>176</v>
      </c>
      <c r="B107" s="4">
        <v>0</v>
      </c>
      <c r="C107" s="4">
        <v>2.5299999999999998</v>
      </c>
      <c r="D107" s="4">
        <v>95</v>
      </c>
      <c r="E107" s="4">
        <v>3.13</v>
      </c>
      <c r="F107" s="4">
        <v>109</v>
      </c>
      <c r="G107" s="4">
        <v>5.35</v>
      </c>
      <c r="H107" s="4">
        <v>103</v>
      </c>
      <c r="I107" s="4">
        <v>80</v>
      </c>
      <c r="J107" s="4">
        <v>86</v>
      </c>
    </row>
    <row r="108" spans="1:10" x14ac:dyDescent="0.2">
      <c r="A108" s="4" t="s">
        <v>177</v>
      </c>
      <c r="B108" s="4">
        <v>0</v>
      </c>
      <c r="C108" s="4">
        <v>3.04</v>
      </c>
      <c r="D108" s="4">
        <v>112</v>
      </c>
      <c r="E108" s="4">
        <v>3.21</v>
      </c>
      <c r="F108" s="4">
        <v>110</v>
      </c>
      <c r="G108" s="4">
        <v>6.14</v>
      </c>
      <c r="H108" s="4">
        <v>112</v>
      </c>
      <c r="I108" s="4">
        <v>94</v>
      </c>
      <c r="J108" s="4">
        <v>101</v>
      </c>
    </row>
    <row r="109" spans="1:10" x14ac:dyDescent="0.2">
      <c r="A109" s="4" t="s">
        <v>179</v>
      </c>
      <c r="B109" s="4">
        <v>0</v>
      </c>
      <c r="C109" s="4">
        <v>2.94</v>
      </c>
      <c r="D109" s="4">
        <v>109</v>
      </c>
      <c r="E109" s="4">
        <v>3.31</v>
      </c>
      <c r="F109" s="4">
        <v>113</v>
      </c>
      <c r="G109" s="4">
        <v>5.86</v>
      </c>
      <c r="H109" s="4">
        <v>119</v>
      </c>
      <c r="I109" s="4">
        <v>88</v>
      </c>
      <c r="J109" s="4">
        <v>95</v>
      </c>
    </row>
    <row r="110" spans="1:10" x14ac:dyDescent="0.2">
      <c r="A110" s="4" t="s">
        <v>181</v>
      </c>
      <c r="B110" s="4">
        <v>1</v>
      </c>
      <c r="C110" s="4">
        <v>4.34</v>
      </c>
      <c r="D110" s="4">
        <v>122</v>
      </c>
      <c r="E110" s="4">
        <v>5.01</v>
      </c>
      <c r="F110" s="4">
        <v>125</v>
      </c>
      <c r="G110" s="4">
        <v>9.77</v>
      </c>
      <c r="H110" s="4">
        <v>136</v>
      </c>
      <c r="I110" s="4">
        <v>86</v>
      </c>
      <c r="J110" s="4">
        <v>92</v>
      </c>
    </row>
    <row r="111" spans="1:10" x14ac:dyDescent="0.2">
      <c r="A111" s="4" t="s">
        <v>182</v>
      </c>
      <c r="B111" s="4">
        <v>0</v>
      </c>
      <c r="C111" s="4">
        <v>2.67</v>
      </c>
      <c r="D111" s="4">
        <v>108</v>
      </c>
      <c r="E111" s="4">
        <v>2.84</v>
      </c>
      <c r="F111" s="4">
        <v>108</v>
      </c>
      <c r="G111" s="4">
        <v>5.96</v>
      </c>
      <c r="H111" s="4">
        <v>117</v>
      </c>
      <c r="I111" s="4">
        <v>93</v>
      </c>
      <c r="J111" s="4">
        <v>100</v>
      </c>
    </row>
    <row r="112" spans="1:10" x14ac:dyDescent="0.2">
      <c r="A112" s="4" t="s">
        <v>183</v>
      </c>
      <c r="B112" s="4">
        <v>1</v>
      </c>
      <c r="C112" s="4">
        <v>4.68</v>
      </c>
      <c r="D112" s="4">
        <v>142</v>
      </c>
      <c r="E112" s="4">
        <v>5.26</v>
      </c>
      <c r="F112" s="4">
        <v>142</v>
      </c>
      <c r="G112" s="4">
        <v>11.26</v>
      </c>
      <c r="H112" s="4">
        <v>166</v>
      </c>
      <c r="I112" s="4">
        <v>89</v>
      </c>
      <c r="J112" s="4">
        <v>96</v>
      </c>
    </row>
    <row r="113" spans="1:10" x14ac:dyDescent="0.2">
      <c r="A113" s="4" t="s">
        <v>185</v>
      </c>
      <c r="B113" s="4">
        <v>0</v>
      </c>
      <c r="C113" s="4">
        <v>3.09</v>
      </c>
      <c r="D113" s="4">
        <v>109</v>
      </c>
      <c r="E113" s="4">
        <v>3.36</v>
      </c>
      <c r="F113" s="4">
        <v>110</v>
      </c>
      <c r="G113" s="4">
        <v>5.92</v>
      </c>
      <c r="H113" s="4">
        <v>98</v>
      </c>
      <c r="I113" s="4">
        <v>92</v>
      </c>
      <c r="J113" s="4">
        <v>99</v>
      </c>
    </row>
    <row r="114" spans="1:10" x14ac:dyDescent="0.2">
      <c r="A114" s="4" t="s">
        <v>188</v>
      </c>
      <c r="B114" s="4">
        <v>1</v>
      </c>
      <c r="C114" s="4">
        <v>3.15</v>
      </c>
      <c r="D114" s="4">
        <v>90</v>
      </c>
      <c r="E114" s="4">
        <v>3.65</v>
      </c>
      <c r="F114" s="4">
        <v>92</v>
      </c>
      <c r="G114" s="4">
        <v>5.58</v>
      </c>
      <c r="H114" s="4">
        <v>78</v>
      </c>
      <c r="I114" s="4">
        <v>86</v>
      </c>
      <c r="J114" s="4">
        <v>92</v>
      </c>
    </row>
    <row r="115" spans="1:10" x14ac:dyDescent="0.2">
      <c r="A115" s="4" t="s">
        <v>189</v>
      </c>
      <c r="B115" s="4">
        <v>0</v>
      </c>
      <c r="C115" s="4">
        <v>2.35</v>
      </c>
      <c r="D115" s="4">
        <v>80</v>
      </c>
      <c r="E115" s="4">
        <v>2.58</v>
      </c>
      <c r="F115" s="4">
        <v>80</v>
      </c>
      <c r="G115" s="4">
        <v>5.17</v>
      </c>
      <c r="H115" s="4">
        <v>74</v>
      </c>
      <c r="I115" s="4">
        <v>91</v>
      </c>
      <c r="J115" s="4">
        <v>104</v>
      </c>
    </row>
    <row r="116" spans="1:10" x14ac:dyDescent="0.2">
      <c r="A116" s="4" t="s">
        <v>190</v>
      </c>
      <c r="B116" s="4">
        <v>0</v>
      </c>
      <c r="C116" s="4">
        <v>2.52</v>
      </c>
      <c r="D116" s="4">
        <v>101</v>
      </c>
      <c r="E116" s="4">
        <v>3.25</v>
      </c>
      <c r="F116" s="4">
        <v>107</v>
      </c>
      <c r="G116" s="4">
        <v>6.61</v>
      </c>
      <c r="H116" s="4">
        <v>109</v>
      </c>
      <c r="I116" s="4">
        <v>77</v>
      </c>
      <c r="J116" s="4">
        <v>85</v>
      </c>
    </row>
    <row r="117" spans="1:10" x14ac:dyDescent="0.2">
      <c r="A117" s="4" t="s">
        <v>192</v>
      </c>
      <c r="B117" s="4">
        <v>0</v>
      </c>
      <c r="C117" s="4">
        <v>2.65</v>
      </c>
      <c r="D117" s="4">
        <v>87</v>
      </c>
      <c r="E117" s="4">
        <v>3.02</v>
      </c>
      <c r="F117" s="4">
        <v>84</v>
      </c>
      <c r="G117" s="4">
        <v>6.85</v>
      </c>
      <c r="H117" s="4">
        <v>99</v>
      </c>
      <c r="I117" s="4">
        <v>87</v>
      </c>
      <c r="J117" s="4">
        <v>84</v>
      </c>
    </row>
    <row r="118" spans="1:10" x14ac:dyDescent="0.2">
      <c r="A118" s="4" t="s">
        <v>194</v>
      </c>
      <c r="B118" s="4">
        <v>0</v>
      </c>
      <c r="C118" s="4">
        <v>3.15</v>
      </c>
      <c r="D118" s="4">
        <v>95</v>
      </c>
      <c r="E118" s="4">
        <v>3.15</v>
      </c>
      <c r="F118" s="4">
        <v>95</v>
      </c>
      <c r="G118" s="4">
        <v>4</v>
      </c>
      <c r="H118" s="4">
        <v>74</v>
      </c>
      <c r="I118" s="4">
        <v>90</v>
      </c>
      <c r="J118" s="4">
        <v>93</v>
      </c>
    </row>
    <row r="119" spans="1:10" x14ac:dyDescent="0.2">
      <c r="A119" s="4" t="s">
        <v>195</v>
      </c>
      <c r="B119" s="4">
        <v>0</v>
      </c>
      <c r="C119" s="4">
        <v>3.32</v>
      </c>
      <c r="D119" s="4">
        <v>119</v>
      </c>
      <c r="E119" s="4">
        <v>3.64</v>
      </c>
      <c r="F119" s="4">
        <v>119</v>
      </c>
      <c r="G119" s="4">
        <v>7.05</v>
      </c>
      <c r="H119" s="4">
        <v>142</v>
      </c>
      <c r="I119" s="4">
        <v>91</v>
      </c>
      <c r="J119" s="4">
        <v>94</v>
      </c>
    </row>
    <row r="120" spans="1:10" x14ac:dyDescent="0.2">
      <c r="A120" s="4" t="s">
        <v>196</v>
      </c>
      <c r="B120" s="4">
        <v>0</v>
      </c>
      <c r="C120">
        <v>3.13</v>
      </c>
      <c r="D120" s="4">
        <v>107</v>
      </c>
      <c r="E120" s="4">
        <v>3.74</v>
      </c>
      <c r="F120" s="4">
        <v>118</v>
      </c>
      <c r="G120" s="4">
        <v>5.41</v>
      </c>
      <c r="H120" s="4">
        <v>95</v>
      </c>
      <c r="I120" s="4">
        <v>83</v>
      </c>
      <c r="J120" s="4">
        <v>89</v>
      </c>
    </row>
    <row r="121" spans="1:10" x14ac:dyDescent="0.2">
      <c r="A121" s="4" t="s">
        <v>197</v>
      </c>
      <c r="B121" s="4">
        <v>0</v>
      </c>
      <c r="C121" s="4">
        <v>3.57</v>
      </c>
      <c r="D121" s="4">
        <v>115</v>
      </c>
      <c r="E121" s="4">
        <v>4.1500000000000004</v>
      </c>
      <c r="F121" s="4">
        <v>120</v>
      </c>
      <c r="G121" s="4">
        <v>6.01</v>
      </c>
      <c r="H121" s="4">
        <v>113</v>
      </c>
      <c r="I121" s="4">
        <v>85</v>
      </c>
      <c r="J121" s="4">
        <v>88</v>
      </c>
    </row>
    <row r="122" spans="1:10" x14ac:dyDescent="0.2">
      <c r="A122" s="4" t="s">
        <v>198</v>
      </c>
      <c r="B122" s="4">
        <v>0</v>
      </c>
      <c r="C122" s="4">
        <v>3.23</v>
      </c>
      <c r="D122" s="4">
        <v>94</v>
      </c>
      <c r="E122" s="4">
        <v>3.65</v>
      </c>
      <c r="F122" s="4">
        <v>92</v>
      </c>
      <c r="G122" s="4">
        <v>7.15</v>
      </c>
      <c r="H122" s="4">
        <v>96</v>
      </c>
      <c r="I122" s="4">
        <v>88</v>
      </c>
      <c r="J122" s="4">
        <v>100</v>
      </c>
    </row>
    <row r="123" spans="1:10" x14ac:dyDescent="0.2">
      <c r="A123" s="4" t="s">
        <v>200</v>
      </c>
      <c r="B123" s="4">
        <v>0</v>
      </c>
      <c r="C123" s="4">
        <v>2.4</v>
      </c>
      <c r="D123" s="4">
        <v>92</v>
      </c>
      <c r="E123" s="4">
        <v>3.18</v>
      </c>
      <c r="F123" s="4">
        <v>113</v>
      </c>
      <c r="G123" s="4">
        <v>3.56</v>
      </c>
      <c r="H123" s="4">
        <v>68</v>
      </c>
      <c r="I123" s="4">
        <v>75</v>
      </c>
      <c r="J123" s="4">
        <v>81</v>
      </c>
    </row>
    <row r="124" spans="1:10" x14ac:dyDescent="0.2">
      <c r="A124" s="4" t="s">
        <v>202</v>
      </c>
      <c r="B124" s="4">
        <v>0</v>
      </c>
      <c r="C124" s="4">
        <v>2.82</v>
      </c>
      <c r="D124" s="4">
        <v>100</v>
      </c>
      <c r="E124" s="4">
        <v>3.09</v>
      </c>
      <c r="F124" s="4">
        <v>100</v>
      </c>
      <c r="G124" s="4">
        <v>5.47</v>
      </c>
      <c r="H124" s="4">
        <v>107</v>
      </c>
      <c r="I124" s="4">
        <v>91</v>
      </c>
      <c r="J124" s="4">
        <v>100</v>
      </c>
    </row>
    <row r="125" spans="1:10" x14ac:dyDescent="0.2">
      <c r="A125" s="4" t="s">
        <v>203</v>
      </c>
      <c r="B125" s="4">
        <v>1</v>
      </c>
      <c r="C125" s="4">
        <v>3.87</v>
      </c>
      <c r="D125" s="4">
        <v>85</v>
      </c>
      <c r="E125" s="4">
        <v>4.34</v>
      </c>
      <c r="F125" s="4">
        <v>88</v>
      </c>
      <c r="G125" s="4">
        <v>9.7200000000000006</v>
      </c>
      <c r="H125" s="4">
        <v>94</v>
      </c>
      <c r="I125" s="4">
        <v>89</v>
      </c>
      <c r="J125" s="4">
        <v>95</v>
      </c>
    </row>
    <row r="126" spans="1:10" x14ac:dyDescent="0.2">
      <c r="A126" s="4" t="s">
        <v>204</v>
      </c>
      <c r="B126" s="4">
        <v>0</v>
      </c>
      <c r="C126">
        <v>2.9</v>
      </c>
      <c r="D126" s="4">
        <v>94</v>
      </c>
      <c r="E126" s="4">
        <v>3.39</v>
      </c>
      <c r="F126" s="4">
        <v>98</v>
      </c>
      <c r="G126" s="4">
        <v>6.04</v>
      </c>
      <c r="H126" s="4">
        <v>88</v>
      </c>
      <c r="I126" s="4">
        <v>85</v>
      </c>
      <c r="J126" s="4">
        <v>94</v>
      </c>
    </row>
    <row r="127" spans="1:10" x14ac:dyDescent="0.2">
      <c r="A127" s="4" t="s">
        <v>205</v>
      </c>
      <c r="B127" s="4">
        <v>0</v>
      </c>
      <c r="C127" s="4">
        <v>3.18</v>
      </c>
      <c r="D127" s="4">
        <v>105</v>
      </c>
      <c r="E127" s="4">
        <v>3.47</v>
      </c>
      <c r="F127" s="4">
        <v>104</v>
      </c>
      <c r="G127" s="4">
        <v>7.18</v>
      </c>
      <c r="H127" s="4">
        <v>142</v>
      </c>
      <c r="I127" s="4">
        <v>91</v>
      </c>
      <c r="J127" s="4">
        <v>98</v>
      </c>
    </row>
    <row r="128" spans="1:10" x14ac:dyDescent="0.2">
      <c r="A128" s="4" t="s">
        <v>207</v>
      </c>
      <c r="B128" s="4">
        <v>1</v>
      </c>
      <c r="C128" s="4">
        <v>3.72</v>
      </c>
      <c r="D128" s="4">
        <v>98</v>
      </c>
      <c r="E128" s="4">
        <v>4.0599999999999996</v>
      </c>
      <c r="F128" s="4">
        <v>94</v>
      </c>
      <c r="G128" s="4">
        <v>9.0299999999999994</v>
      </c>
      <c r="H128" s="4">
        <v>119</v>
      </c>
      <c r="I128" s="4">
        <v>91</v>
      </c>
      <c r="J128" s="4">
        <v>98</v>
      </c>
    </row>
    <row r="129" spans="1:10" x14ac:dyDescent="0.2">
      <c r="A129" s="4" t="s">
        <v>209</v>
      </c>
      <c r="B129" s="4">
        <v>0</v>
      </c>
      <c r="C129" s="4">
        <v>3.81</v>
      </c>
      <c r="D129" s="4">
        <v>124</v>
      </c>
      <c r="E129" s="4">
        <v>3.94</v>
      </c>
      <c r="F129" s="4">
        <v>119</v>
      </c>
      <c r="G129" s="4">
        <v>7.99</v>
      </c>
      <c r="H129" s="4">
        <v>124</v>
      </c>
      <c r="I129" s="4">
        <v>96</v>
      </c>
      <c r="J129" s="4">
        <v>103</v>
      </c>
    </row>
    <row r="130" spans="1:10" x14ac:dyDescent="0.2">
      <c r="A130" s="4" t="s">
        <v>210</v>
      </c>
      <c r="B130" s="4">
        <v>0</v>
      </c>
      <c r="C130">
        <v>3.01</v>
      </c>
      <c r="D130" s="4">
        <v>107</v>
      </c>
      <c r="E130" s="4">
        <v>3.58</v>
      </c>
      <c r="F130" s="4">
        <v>117</v>
      </c>
      <c r="G130" s="4">
        <v>8.3000000000000007</v>
      </c>
      <c r="H130" s="4">
        <v>142</v>
      </c>
      <c r="I130" s="4">
        <v>84</v>
      </c>
      <c r="J130" s="4">
        <v>90</v>
      </c>
    </row>
    <row r="131" spans="1:10" x14ac:dyDescent="0.2">
      <c r="A131" s="4" t="s">
        <v>211</v>
      </c>
      <c r="B131" s="4">
        <v>0</v>
      </c>
      <c r="C131" s="4">
        <v>2.87</v>
      </c>
      <c r="D131" s="4">
        <v>114</v>
      </c>
      <c r="E131" s="4">
        <v>2.99</v>
      </c>
      <c r="F131" s="4">
        <v>110</v>
      </c>
      <c r="G131" s="4">
        <v>6.36</v>
      </c>
      <c r="H131" s="4">
        <v>116</v>
      </c>
      <c r="I131" s="4">
        <v>96</v>
      </c>
      <c r="J131" s="4">
        <v>103</v>
      </c>
    </row>
    <row r="132" spans="1:10" x14ac:dyDescent="0.2">
      <c r="A132" s="4" t="s">
        <v>214</v>
      </c>
      <c r="B132" s="4">
        <v>0</v>
      </c>
      <c r="C132" s="4">
        <v>2.65</v>
      </c>
      <c r="D132" s="4">
        <v>99</v>
      </c>
      <c r="E132" s="4">
        <v>2.86</v>
      </c>
      <c r="F132" s="4">
        <v>100</v>
      </c>
      <c r="G132" s="4">
        <v>4.3499999999999996</v>
      </c>
      <c r="H132" s="4">
        <v>81</v>
      </c>
      <c r="I132" s="4">
        <v>92</v>
      </c>
      <c r="J132" s="4">
        <v>99</v>
      </c>
    </row>
    <row r="133" spans="1:10" x14ac:dyDescent="0.2">
      <c r="A133" s="4" t="s">
        <v>216</v>
      </c>
      <c r="B133" s="4">
        <v>1</v>
      </c>
      <c r="C133" s="4">
        <v>4.03</v>
      </c>
      <c r="D133" s="4">
        <v>91</v>
      </c>
      <c r="E133" s="4">
        <v>4.78</v>
      </c>
      <c r="F133" s="4">
        <v>99</v>
      </c>
      <c r="G133" s="4">
        <v>11.56</v>
      </c>
      <c r="H133" s="4">
        <v>113</v>
      </c>
      <c r="I133" s="4">
        <v>84</v>
      </c>
      <c r="J133" s="4">
        <v>89</v>
      </c>
    </row>
    <row r="134" spans="1:10" x14ac:dyDescent="0.2">
      <c r="A134" s="4" t="s">
        <v>218</v>
      </c>
      <c r="B134" s="4">
        <v>0</v>
      </c>
      <c r="C134" s="4">
        <v>3.07</v>
      </c>
      <c r="D134" s="4">
        <v>117</v>
      </c>
      <c r="E134" s="4">
        <v>3.36</v>
      </c>
      <c r="F134" s="4">
        <v>118</v>
      </c>
      <c r="G134" s="4">
        <v>91</v>
      </c>
      <c r="H134" s="4">
        <v>98</v>
      </c>
      <c r="I134" s="4">
        <v>97</v>
      </c>
      <c r="J134" s="4">
        <v>122</v>
      </c>
    </row>
    <row r="135" spans="1:10" x14ac:dyDescent="0.2">
      <c r="A135" s="4" t="s">
        <v>219</v>
      </c>
      <c r="B135" s="4">
        <v>0</v>
      </c>
      <c r="C135" s="4">
        <v>3.44</v>
      </c>
      <c r="D135" s="4">
        <v>106</v>
      </c>
      <c r="E135" s="4">
        <v>3.78</v>
      </c>
      <c r="F135" s="4">
        <v>102</v>
      </c>
      <c r="G135" s="4">
        <v>8.4700000000000006</v>
      </c>
      <c r="H135" s="4">
        <v>118</v>
      </c>
      <c r="I135" s="4">
        <v>91</v>
      </c>
      <c r="J135" s="4">
        <v>102</v>
      </c>
    </row>
    <row r="136" spans="1:10" x14ac:dyDescent="0.2">
      <c r="A136" s="4" t="s">
        <v>220</v>
      </c>
      <c r="B136" s="4">
        <v>1</v>
      </c>
      <c r="C136" s="4">
        <v>4.2300000000000004</v>
      </c>
      <c r="D136" s="4">
        <v>95</v>
      </c>
      <c r="E136" s="4">
        <v>4.8499999999999996</v>
      </c>
      <c r="F136" s="4">
        <v>99</v>
      </c>
      <c r="G136" s="4">
        <v>9.8800000000000008</v>
      </c>
      <c r="H136" s="4">
        <v>100</v>
      </c>
      <c r="I136" s="4">
        <v>87</v>
      </c>
      <c r="J136" s="4">
        <v>93</v>
      </c>
    </row>
    <row r="137" spans="1:10" x14ac:dyDescent="0.2">
      <c r="A137" s="4" t="s">
        <v>222</v>
      </c>
      <c r="B137" s="4">
        <v>0</v>
      </c>
      <c r="C137" s="4">
        <v>3.12</v>
      </c>
      <c r="D137" s="4">
        <v>107</v>
      </c>
      <c r="E137" s="4">
        <v>3.65</v>
      </c>
      <c r="F137" s="4">
        <v>113</v>
      </c>
      <c r="G137" s="4">
        <v>5.0199999999999996</v>
      </c>
      <c r="H137" s="4">
        <v>98</v>
      </c>
      <c r="I137" s="4">
        <v>85</v>
      </c>
      <c r="J137" s="4">
        <v>88</v>
      </c>
    </row>
    <row r="138" spans="1:10" x14ac:dyDescent="0.2">
      <c r="A138" s="4" t="s">
        <v>224</v>
      </c>
      <c r="B138" s="4">
        <v>0</v>
      </c>
      <c r="C138" s="4">
        <v>2.4900000000000002</v>
      </c>
      <c r="D138" s="4">
        <v>86</v>
      </c>
      <c r="E138" s="4">
        <v>3</v>
      </c>
      <c r="F138" s="4">
        <v>93</v>
      </c>
      <c r="G138" s="4">
        <v>7.75</v>
      </c>
      <c r="H138" s="4">
        <v>154</v>
      </c>
      <c r="I138" s="4">
        <v>83</v>
      </c>
      <c r="J138" s="4">
        <v>96</v>
      </c>
    </row>
    <row r="139" spans="1:10" x14ac:dyDescent="0.2">
      <c r="A139" s="4" t="s">
        <v>225</v>
      </c>
      <c r="B139" s="4">
        <v>1</v>
      </c>
      <c r="C139" s="4">
        <v>3.77</v>
      </c>
      <c r="D139" s="4">
        <v>75</v>
      </c>
      <c r="E139" s="4">
        <v>4.1100000000000003</v>
      </c>
      <c r="F139" s="4">
        <v>84</v>
      </c>
      <c r="G139" s="4">
        <v>8.64</v>
      </c>
      <c r="H139" s="4">
        <v>85</v>
      </c>
      <c r="I139" s="4">
        <v>81</v>
      </c>
      <c r="J139" s="4">
        <v>86</v>
      </c>
    </row>
    <row r="140" spans="1:10" x14ac:dyDescent="0.2">
      <c r="A140" s="4" t="s">
        <v>228</v>
      </c>
      <c r="B140" s="4">
        <v>0</v>
      </c>
      <c r="C140" s="4">
        <v>2.67</v>
      </c>
      <c r="D140" s="4">
        <v>94</v>
      </c>
      <c r="E140" s="4">
        <v>3.21</v>
      </c>
      <c r="F140" s="4">
        <v>104</v>
      </c>
      <c r="G140" s="4">
        <v>5.97</v>
      </c>
      <c r="H140" s="4">
        <v>107</v>
      </c>
      <c r="I140" s="4">
        <v>83</v>
      </c>
      <c r="J140" s="4">
        <v>89</v>
      </c>
    </row>
    <row r="141" spans="1:10" x14ac:dyDescent="0.2">
      <c r="A141" s="4" t="s">
        <v>230</v>
      </c>
      <c r="B141" s="4">
        <v>0</v>
      </c>
      <c r="C141" s="4">
        <v>3.2</v>
      </c>
      <c r="D141" s="4">
        <v>112</v>
      </c>
      <c r="E141" s="4">
        <v>3.46</v>
      </c>
      <c r="F141" s="4">
        <v>112</v>
      </c>
      <c r="G141" s="15">
        <v>7.59</v>
      </c>
      <c r="H141" s="15">
        <v>135</v>
      </c>
      <c r="I141" s="4">
        <v>92</v>
      </c>
      <c r="J141" s="4">
        <v>99</v>
      </c>
    </row>
    <row r="142" spans="1:10" x14ac:dyDescent="0.2">
      <c r="A142" s="4" t="s">
        <v>232</v>
      </c>
      <c r="B142" s="4">
        <v>1</v>
      </c>
      <c r="C142" s="4">
        <v>4.38</v>
      </c>
      <c r="D142" s="4">
        <v>117</v>
      </c>
      <c r="E142" s="4">
        <v>4.92</v>
      </c>
      <c r="F142" s="4">
        <v>116</v>
      </c>
      <c r="G142" s="4">
        <v>9.48</v>
      </c>
      <c r="H142" s="4">
        <v>126</v>
      </c>
      <c r="I142" s="4">
        <v>88</v>
      </c>
      <c r="J142" s="4">
        <v>95</v>
      </c>
    </row>
    <row r="143" spans="1:10" x14ac:dyDescent="0.2">
      <c r="A143" s="4" t="s">
        <v>233</v>
      </c>
      <c r="B143" s="4">
        <v>0</v>
      </c>
      <c r="C143" s="4">
        <v>2.96</v>
      </c>
      <c r="D143" s="4">
        <v>99</v>
      </c>
      <c r="E143" s="4">
        <v>3.36</v>
      </c>
      <c r="F143" s="4">
        <v>103</v>
      </c>
      <c r="G143" s="4">
        <v>6.8</v>
      </c>
      <c r="H143" s="4">
        <v>115</v>
      </c>
      <c r="I143" s="4">
        <v>88</v>
      </c>
      <c r="J143" s="4">
        <v>95</v>
      </c>
    </row>
    <row r="144" spans="1:10" x14ac:dyDescent="0.2">
      <c r="A144" s="4" t="s">
        <v>235</v>
      </c>
      <c r="B144" s="4">
        <v>1</v>
      </c>
      <c r="C144" s="4">
        <v>3.48</v>
      </c>
      <c r="D144" s="4">
        <v>107</v>
      </c>
      <c r="E144" s="4">
        <v>3.8</v>
      </c>
      <c r="F144" s="4">
        <v>104</v>
      </c>
      <c r="G144" s="4">
        <v>8.85</v>
      </c>
      <c r="H144" s="4">
        <v>132</v>
      </c>
      <c r="I144" s="4">
        <v>91</v>
      </c>
      <c r="J144" s="4">
        <v>98</v>
      </c>
    </row>
    <row r="145" spans="1:10" x14ac:dyDescent="0.2">
      <c r="A145" s="4" t="s">
        <v>236</v>
      </c>
      <c r="B145" s="4">
        <v>0</v>
      </c>
      <c r="C145" s="4">
        <v>2.91</v>
      </c>
      <c r="D145" s="4">
        <v>110</v>
      </c>
      <c r="E145" s="4">
        <v>3.05</v>
      </c>
      <c r="F145" s="4">
        <v>107</v>
      </c>
      <c r="G145" s="4">
        <v>6.09</v>
      </c>
      <c r="H145" s="4">
        <v>122</v>
      </c>
      <c r="I145" s="4">
        <v>95</v>
      </c>
      <c r="J145" s="4">
        <v>102</v>
      </c>
    </row>
    <row r="146" spans="1:10" x14ac:dyDescent="0.2">
      <c r="A146" s="4" t="s">
        <v>237</v>
      </c>
      <c r="B146" s="4">
        <v>0</v>
      </c>
      <c r="C146" s="4">
        <v>2.42</v>
      </c>
      <c r="D146" s="4">
        <v>91</v>
      </c>
      <c r="E146" s="4">
        <v>2.91</v>
      </c>
      <c r="F146" s="4">
        <v>101</v>
      </c>
      <c r="G146" s="4">
        <v>7.69</v>
      </c>
      <c r="H146" s="4">
        <v>140</v>
      </c>
      <c r="I146" s="4">
        <v>83</v>
      </c>
      <c r="J146" s="4">
        <v>89</v>
      </c>
    </row>
    <row r="147" spans="1:10" x14ac:dyDescent="0.2">
      <c r="A147" s="4" t="s">
        <v>238</v>
      </c>
      <c r="B147" s="4">
        <v>0</v>
      </c>
      <c r="C147" s="4">
        <v>2.2799999999999998</v>
      </c>
      <c r="D147" s="4">
        <v>92</v>
      </c>
      <c r="E147" s="4">
        <v>2.5299999999999998</v>
      </c>
      <c r="F147" s="4">
        <v>92</v>
      </c>
      <c r="G147" s="4">
        <v>4.9000000000000004</v>
      </c>
      <c r="H147" s="4">
        <v>109</v>
      </c>
      <c r="I147" s="4">
        <v>90</v>
      </c>
      <c r="J147" s="4">
        <v>93</v>
      </c>
    </row>
    <row r="148" spans="1:10" x14ac:dyDescent="0.2">
      <c r="A148" s="4" t="s">
        <v>241</v>
      </c>
      <c r="B148" s="4">
        <v>0</v>
      </c>
      <c r="C148" s="4">
        <v>2.44</v>
      </c>
      <c r="D148" s="4">
        <v>93</v>
      </c>
      <c r="E148" s="4">
        <v>2.87</v>
      </c>
      <c r="F148" s="4">
        <v>101</v>
      </c>
      <c r="G148" s="4">
        <v>5.0999999999999996</v>
      </c>
      <c r="H148" s="4">
        <v>101</v>
      </c>
      <c r="I148" s="4">
        <v>84</v>
      </c>
      <c r="J148" s="4">
        <v>90</v>
      </c>
    </row>
    <row r="149" spans="1:10" x14ac:dyDescent="0.2">
      <c r="A149" s="4" t="s">
        <v>242</v>
      </c>
      <c r="B149" s="4">
        <v>0</v>
      </c>
      <c r="C149" s="4">
        <v>2.82</v>
      </c>
      <c r="D149" s="4">
        <v>83</v>
      </c>
      <c r="E149" s="4">
        <v>3.41</v>
      </c>
      <c r="F149" s="4">
        <v>92</v>
      </c>
      <c r="G149" s="4">
        <v>4.7</v>
      </c>
      <c r="H149" s="4">
        <v>99</v>
      </c>
      <c r="I149" s="4">
        <v>82</v>
      </c>
      <c r="J149" s="4">
        <v>84</v>
      </c>
    </row>
    <row r="150" spans="1:10" x14ac:dyDescent="0.2">
      <c r="A150" s="4" t="s">
        <v>243</v>
      </c>
      <c r="B150" s="4">
        <v>0</v>
      </c>
      <c r="C150" s="4">
        <v>3.33</v>
      </c>
      <c r="D150" s="4">
        <v>101</v>
      </c>
      <c r="E150" s="4">
        <v>3.54</v>
      </c>
      <c r="F150" s="4">
        <v>158</v>
      </c>
      <c r="G150" s="4">
        <v>6.37</v>
      </c>
      <c r="H150" s="4">
        <v>112</v>
      </c>
      <c r="I150" s="4">
        <v>85</v>
      </c>
      <c r="J150" s="4">
        <v>91</v>
      </c>
    </row>
    <row r="151" spans="1:10" x14ac:dyDescent="0.2">
      <c r="A151" t="s">
        <v>244</v>
      </c>
      <c r="B151">
        <v>1</v>
      </c>
      <c r="C151">
        <v>3.89</v>
      </c>
      <c r="D151">
        <v>85</v>
      </c>
      <c r="E151">
        <v>4.51</v>
      </c>
      <c r="F151">
        <v>83</v>
      </c>
      <c r="G151">
        <v>7.2</v>
      </c>
      <c r="H151">
        <v>72</v>
      </c>
      <c r="I151">
        <v>86</v>
      </c>
      <c r="J151">
        <v>100</v>
      </c>
    </row>
    <row r="152" spans="1:10" x14ac:dyDescent="0.2">
      <c r="A152" t="s">
        <v>245</v>
      </c>
      <c r="B152">
        <v>1</v>
      </c>
      <c r="C152">
        <v>4.49</v>
      </c>
      <c r="D152">
        <v>79</v>
      </c>
      <c r="E152">
        <v>4.0599999999999996</v>
      </c>
      <c r="F152">
        <v>85</v>
      </c>
      <c r="G152">
        <v>8.48</v>
      </c>
      <c r="H152">
        <v>83</v>
      </c>
      <c r="I152">
        <v>85</v>
      </c>
      <c r="J152">
        <v>90</v>
      </c>
    </row>
    <row r="153" spans="1:10" s="4" customFormat="1" x14ac:dyDescent="0.2">
      <c r="A153" s="4" t="s">
        <v>309</v>
      </c>
      <c r="B153" s="4">
        <v>1</v>
      </c>
      <c r="C153" s="4">
        <v>4.49</v>
      </c>
      <c r="D153" s="4">
        <v>79</v>
      </c>
      <c r="E153" s="4">
        <v>4.0599999999999996</v>
      </c>
      <c r="F153" s="4">
        <v>85</v>
      </c>
      <c r="G153" s="4">
        <v>8.48</v>
      </c>
      <c r="H153" s="4">
        <v>83</v>
      </c>
      <c r="I153" s="4">
        <v>85</v>
      </c>
      <c r="J153" s="4">
        <v>90</v>
      </c>
    </row>
    <row r="154" spans="1:10" x14ac:dyDescent="0.2">
      <c r="A154" t="s">
        <v>248</v>
      </c>
      <c r="B154">
        <v>1</v>
      </c>
      <c r="C154">
        <v>3.84</v>
      </c>
      <c r="D154">
        <v>83</v>
      </c>
      <c r="E154">
        <v>4.3600000000000003</v>
      </c>
      <c r="F154">
        <v>87</v>
      </c>
      <c r="G154">
        <v>10.96</v>
      </c>
      <c r="H154">
        <v>106</v>
      </c>
      <c r="I154">
        <v>88</v>
      </c>
      <c r="J154">
        <v>94</v>
      </c>
    </row>
    <row r="155" spans="1:10" x14ac:dyDescent="0.2">
      <c r="A155" t="s">
        <v>250</v>
      </c>
      <c r="B155">
        <v>0</v>
      </c>
      <c r="C155">
        <v>2.3199999999999998</v>
      </c>
      <c r="D155">
        <v>105</v>
      </c>
      <c r="E155">
        <v>2.66</v>
      </c>
      <c r="F155">
        <v>100</v>
      </c>
      <c r="G155">
        <v>5.55</v>
      </c>
      <c r="H155">
        <v>99</v>
      </c>
      <c r="I155">
        <v>87</v>
      </c>
      <c r="J155">
        <v>107</v>
      </c>
    </row>
    <row r="156" spans="1:10" x14ac:dyDescent="0.2">
      <c r="A156" t="s">
        <v>252</v>
      </c>
      <c r="B156">
        <v>1</v>
      </c>
      <c r="C156">
        <v>4.42</v>
      </c>
      <c r="D156">
        <v>100</v>
      </c>
      <c r="E156">
        <v>5.01</v>
      </c>
      <c r="F156">
        <v>95</v>
      </c>
      <c r="G156">
        <v>8.82</v>
      </c>
      <c r="H156">
        <v>91.7</v>
      </c>
      <c r="I156">
        <v>88</v>
      </c>
      <c r="J156">
        <v>104</v>
      </c>
    </row>
    <row r="157" spans="1:10" x14ac:dyDescent="0.2">
      <c r="A157" t="s">
        <v>253</v>
      </c>
      <c r="B157">
        <v>1</v>
      </c>
      <c r="C157">
        <v>5.19</v>
      </c>
      <c r="D157">
        <v>142</v>
      </c>
      <c r="E157">
        <v>5.92</v>
      </c>
      <c r="F157">
        <v>143</v>
      </c>
      <c r="G157">
        <v>7.43</v>
      </c>
      <c r="H157">
        <v>101</v>
      </c>
      <c r="I157">
        <v>87</v>
      </c>
      <c r="J157">
        <v>94</v>
      </c>
    </row>
    <row r="158" spans="1:10" x14ac:dyDescent="0.2">
      <c r="A158" t="s">
        <v>255</v>
      </c>
      <c r="B158">
        <v>0</v>
      </c>
      <c r="C158">
        <v>2.4500000000000002</v>
      </c>
      <c r="D158">
        <v>89</v>
      </c>
      <c r="E158">
        <v>3</v>
      </c>
      <c r="F158">
        <v>90</v>
      </c>
      <c r="G158">
        <v>5.21</v>
      </c>
      <c r="H158">
        <v>80</v>
      </c>
      <c r="I158">
        <v>80</v>
      </c>
      <c r="J158">
        <v>100</v>
      </c>
    </row>
    <row r="159" spans="1:10" x14ac:dyDescent="0.2">
      <c r="A159" t="s">
        <v>256</v>
      </c>
      <c r="B159">
        <v>0</v>
      </c>
      <c r="C159">
        <v>3.24</v>
      </c>
      <c r="D159">
        <v>120</v>
      </c>
      <c r="E159">
        <v>3.45</v>
      </c>
      <c r="F159">
        <v>118</v>
      </c>
      <c r="G159">
        <v>5.89</v>
      </c>
      <c r="H159">
        <v>104</v>
      </c>
      <c r="I159">
        <v>93</v>
      </c>
      <c r="J159">
        <v>100</v>
      </c>
    </row>
    <row r="160" spans="1:10" x14ac:dyDescent="0.2">
      <c r="A160" t="s">
        <v>257</v>
      </c>
      <c r="B160">
        <v>0</v>
      </c>
      <c r="C160">
        <v>2.9</v>
      </c>
      <c r="D160">
        <v>101</v>
      </c>
      <c r="E160">
        <v>3.16</v>
      </c>
      <c r="F160">
        <v>101</v>
      </c>
      <c r="G160">
        <v>6.63</v>
      </c>
      <c r="H160">
        <v>115</v>
      </c>
      <c r="I160">
        <v>91</v>
      </c>
      <c r="J160">
        <v>98</v>
      </c>
    </row>
    <row r="161" spans="1:10" x14ac:dyDescent="0.2">
      <c r="A161" t="s">
        <v>260</v>
      </c>
      <c r="B161">
        <v>0</v>
      </c>
      <c r="C161">
        <v>2.77</v>
      </c>
      <c r="D161">
        <v>106</v>
      </c>
      <c r="E161">
        <v>3.04</v>
      </c>
      <c r="F161">
        <v>108</v>
      </c>
      <c r="G161">
        <v>5.83</v>
      </c>
      <c r="H161">
        <v>113</v>
      </c>
      <c r="I161">
        <v>90</v>
      </c>
      <c r="J161">
        <v>97</v>
      </c>
    </row>
    <row r="162" spans="1:10" x14ac:dyDescent="0.2">
      <c r="A162" t="s">
        <v>261</v>
      </c>
      <c r="B162">
        <v>0</v>
      </c>
      <c r="C162">
        <v>2.97</v>
      </c>
      <c r="D162">
        <v>93</v>
      </c>
      <c r="E162">
        <v>3</v>
      </c>
      <c r="F162">
        <v>88</v>
      </c>
      <c r="G162">
        <v>6.78</v>
      </c>
      <c r="H162">
        <v>104</v>
      </c>
      <c r="I162">
        <v>97</v>
      </c>
      <c r="J162">
        <v>104</v>
      </c>
    </row>
    <row r="163" spans="1:10" x14ac:dyDescent="0.2">
      <c r="A163" t="s">
        <v>262</v>
      </c>
      <c r="B163">
        <v>0</v>
      </c>
      <c r="C163">
        <v>2.37</v>
      </c>
      <c r="D163">
        <v>102</v>
      </c>
      <c r="E163">
        <v>2.73</v>
      </c>
      <c r="F163">
        <v>109</v>
      </c>
      <c r="G163">
        <v>5.46</v>
      </c>
      <c r="H163">
        <v>116</v>
      </c>
      <c r="I163">
        <v>86</v>
      </c>
      <c r="J163">
        <v>92</v>
      </c>
    </row>
    <row r="164" spans="1:10" x14ac:dyDescent="0.2">
      <c r="A164" t="s">
        <v>263</v>
      </c>
      <c r="B164">
        <v>0</v>
      </c>
      <c r="C164">
        <v>2.7</v>
      </c>
      <c r="D164">
        <v>111</v>
      </c>
      <c r="E164">
        <v>2.98</v>
      </c>
      <c r="F164">
        <v>113</v>
      </c>
      <c r="G164">
        <v>5.8</v>
      </c>
      <c r="H164">
        <v>123</v>
      </c>
      <c r="I164">
        <v>90</v>
      </c>
      <c r="J164">
        <v>97</v>
      </c>
    </row>
    <row r="165" spans="1:10" x14ac:dyDescent="0.2">
      <c r="A165" t="s">
        <v>264</v>
      </c>
      <c r="B165">
        <v>1</v>
      </c>
      <c r="C165">
        <v>4.28</v>
      </c>
      <c r="D165">
        <v>126</v>
      </c>
      <c r="E165">
        <v>4.71</v>
      </c>
      <c r="F165">
        <v>123</v>
      </c>
      <c r="G165">
        <v>7.66</v>
      </c>
      <c r="H165">
        <v>110</v>
      </c>
      <c r="I165">
        <v>90</v>
      </c>
      <c r="J165">
        <v>97</v>
      </c>
    </row>
    <row r="166" spans="1:10" s="4" customFormat="1" x14ac:dyDescent="0.2">
      <c r="A166" s="4" t="s">
        <v>267</v>
      </c>
      <c r="B166" s="4">
        <v>0</v>
      </c>
      <c r="C166" s="4">
        <v>2.93</v>
      </c>
      <c r="D166" s="4">
        <v>100</v>
      </c>
      <c r="E166" s="4">
        <v>3.68</v>
      </c>
      <c r="F166" s="4">
        <v>115</v>
      </c>
      <c r="G166" s="4">
        <v>6.85</v>
      </c>
      <c r="H166" s="4">
        <v>128</v>
      </c>
      <c r="I166" s="4">
        <v>79</v>
      </c>
      <c r="J166" s="4">
        <v>81</v>
      </c>
    </row>
    <row r="167" spans="1:10" x14ac:dyDescent="0.2">
      <c r="A167" t="s">
        <v>268</v>
      </c>
      <c r="B167">
        <v>1</v>
      </c>
      <c r="C167">
        <v>4.54</v>
      </c>
      <c r="D167">
        <v>126</v>
      </c>
      <c r="E167">
        <v>5.77</v>
      </c>
      <c r="F167">
        <v>142</v>
      </c>
      <c r="G167">
        <v>11.26</v>
      </c>
      <c r="H167">
        <v>155</v>
      </c>
      <c r="I167">
        <v>78</v>
      </c>
      <c r="J167">
        <v>84</v>
      </c>
    </row>
    <row r="168" spans="1:10" x14ac:dyDescent="0.2">
      <c r="A168" t="s">
        <v>269</v>
      </c>
      <c r="B168">
        <v>0</v>
      </c>
      <c r="C168">
        <v>2.62</v>
      </c>
      <c r="D168">
        <v>83</v>
      </c>
      <c r="E168">
        <v>2.99</v>
      </c>
      <c r="F168">
        <v>86</v>
      </c>
      <c r="G168">
        <v>7.06</v>
      </c>
      <c r="H168">
        <v>125</v>
      </c>
      <c r="I168">
        <v>87</v>
      </c>
      <c r="J168">
        <v>90</v>
      </c>
    </row>
    <row r="169" spans="1:10" x14ac:dyDescent="0.2">
      <c r="A169" t="s">
        <v>270</v>
      </c>
      <c r="B169">
        <v>0</v>
      </c>
      <c r="C169">
        <v>2.9</v>
      </c>
      <c r="D169">
        <v>102</v>
      </c>
      <c r="E169">
        <v>3.31</v>
      </c>
      <c r="F169">
        <v>108</v>
      </c>
      <c r="G169">
        <v>4.78</v>
      </c>
      <c r="H169">
        <v>88</v>
      </c>
      <c r="I169">
        <v>87</v>
      </c>
      <c r="J169">
        <v>94</v>
      </c>
    </row>
    <row r="170" spans="1:10" x14ac:dyDescent="0.2">
      <c r="A170" t="s">
        <v>272</v>
      </c>
      <c r="B170">
        <v>0</v>
      </c>
      <c r="C170">
        <v>2.74</v>
      </c>
      <c r="D170">
        <v>112</v>
      </c>
      <c r="E170">
        <v>2.96</v>
      </c>
      <c r="F170">
        <v>111</v>
      </c>
      <c r="G170">
        <v>6.57</v>
      </c>
      <c r="H170">
        <v>141</v>
      </c>
      <c r="I170">
        <v>92</v>
      </c>
      <c r="J170">
        <v>99</v>
      </c>
    </row>
    <row r="171" spans="1:10" x14ac:dyDescent="0.2">
      <c r="A171" t="s">
        <v>273</v>
      </c>
      <c r="B171">
        <v>0</v>
      </c>
      <c r="C171">
        <v>3.01</v>
      </c>
      <c r="D171">
        <v>116</v>
      </c>
      <c r="E171">
        <v>3.38</v>
      </c>
      <c r="F171">
        <v>121</v>
      </c>
      <c r="G171">
        <v>7.41</v>
      </c>
      <c r="H171">
        <v>138</v>
      </c>
      <c r="I171">
        <v>88</v>
      </c>
      <c r="J171">
        <v>95</v>
      </c>
    </row>
    <row r="172" spans="1:10" x14ac:dyDescent="0.2">
      <c r="A172" t="s">
        <v>274</v>
      </c>
      <c r="B172">
        <v>1</v>
      </c>
      <c r="C172">
        <v>3.2</v>
      </c>
      <c r="D172">
        <v>72</v>
      </c>
      <c r="E172">
        <v>3.99</v>
      </c>
      <c r="F172">
        <v>82</v>
      </c>
      <c r="G172">
        <v>8.74</v>
      </c>
      <c r="H172">
        <v>88</v>
      </c>
      <c r="I172">
        <v>80</v>
      </c>
      <c r="J172">
        <v>94</v>
      </c>
    </row>
    <row r="173" spans="1:10" s="4" customFormat="1" x14ac:dyDescent="0.2">
      <c r="A173" s="4" t="s">
        <v>276</v>
      </c>
      <c r="B173" s="4">
        <v>0</v>
      </c>
      <c r="C173" s="4">
        <v>2.54</v>
      </c>
      <c r="D173" s="4">
        <v>90</v>
      </c>
      <c r="E173" s="4">
        <v>2.99</v>
      </c>
      <c r="F173" s="4">
        <v>90</v>
      </c>
      <c r="G173" s="4">
        <v>5.45</v>
      </c>
      <c r="H173" s="4">
        <v>83</v>
      </c>
      <c r="I173" s="4">
        <v>84</v>
      </c>
      <c r="J173" s="4">
        <v>91</v>
      </c>
    </row>
    <row r="174" spans="1:10" x14ac:dyDescent="0.2">
      <c r="A174" t="s">
        <v>278</v>
      </c>
      <c r="B174">
        <v>0</v>
      </c>
      <c r="C174">
        <v>2.67</v>
      </c>
      <c r="D174">
        <v>106</v>
      </c>
      <c r="E174">
        <v>3.44</v>
      </c>
      <c r="F174">
        <v>125</v>
      </c>
      <c r="G174">
        <v>6.6</v>
      </c>
      <c r="H174">
        <v>134</v>
      </c>
      <c r="I174">
        <v>77</v>
      </c>
      <c r="J174">
        <v>83</v>
      </c>
    </row>
    <row r="175" spans="1:10" x14ac:dyDescent="0.2">
      <c r="A175" t="s">
        <v>279</v>
      </c>
      <c r="B175">
        <v>1</v>
      </c>
      <c r="C175">
        <v>4.1100000000000003</v>
      </c>
      <c r="D175">
        <v>82</v>
      </c>
      <c r="E175">
        <v>5.08</v>
      </c>
      <c r="F175">
        <v>86</v>
      </c>
      <c r="G175">
        <v>10.27</v>
      </c>
      <c r="H175">
        <v>97</v>
      </c>
      <c r="I175">
        <v>80</v>
      </c>
      <c r="J175">
        <v>93</v>
      </c>
    </row>
    <row r="176" spans="1:10" x14ac:dyDescent="0.2">
      <c r="A176" t="s">
        <v>281</v>
      </c>
      <c r="B176">
        <v>0</v>
      </c>
      <c r="C176">
        <v>2.54</v>
      </c>
      <c r="D176">
        <v>90</v>
      </c>
      <c r="E176">
        <v>2.99</v>
      </c>
      <c r="F176">
        <v>90</v>
      </c>
      <c r="G176">
        <v>5.45</v>
      </c>
      <c r="H176">
        <v>83</v>
      </c>
      <c r="I176">
        <v>84</v>
      </c>
      <c r="J176">
        <v>91</v>
      </c>
    </row>
    <row r="177" spans="1:10" x14ac:dyDescent="0.2">
      <c r="A177" t="s">
        <v>282</v>
      </c>
      <c r="B177">
        <v>0</v>
      </c>
      <c r="C177">
        <v>2.2000000000000002</v>
      </c>
      <c r="D177">
        <v>86</v>
      </c>
      <c r="E177">
        <v>2.54</v>
      </c>
      <c r="F177">
        <v>82</v>
      </c>
      <c r="G177">
        <v>4.8600000000000003</v>
      </c>
      <c r="H177">
        <v>79</v>
      </c>
      <c r="I177">
        <v>86</v>
      </c>
      <c r="J177">
        <v>106</v>
      </c>
    </row>
    <row r="178" spans="1:10" x14ac:dyDescent="0.2">
      <c r="A178" t="s">
        <v>284</v>
      </c>
      <c r="B178">
        <v>0</v>
      </c>
      <c r="C178">
        <v>2.15</v>
      </c>
      <c r="D178">
        <v>92</v>
      </c>
      <c r="E178">
        <v>2.6</v>
      </c>
      <c r="F178">
        <v>103</v>
      </c>
      <c r="G178">
        <v>3.8</v>
      </c>
      <c r="H178">
        <v>81</v>
      </c>
      <c r="I178">
        <v>82</v>
      </c>
      <c r="J178">
        <v>88</v>
      </c>
    </row>
    <row r="179" spans="1:10" x14ac:dyDescent="0.2">
      <c r="A179" t="s">
        <v>287</v>
      </c>
      <c r="B179">
        <v>0</v>
      </c>
      <c r="C179">
        <v>3.19</v>
      </c>
      <c r="D179">
        <v>109</v>
      </c>
      <c r="E179">
        <v>3.86</v>
      </c>
      <c r="F179">
        <v>120</v>
      </c>
      <c r="G179">
        <v>4.71</v>
      </c>
      <c r="H179">
        <v>89</v>
      </c>
      <c r="I179">
        <v>82</v>
      </c>
      <c r="J179">
        <v>88</v>
      </c>
    </row>
    <row r="180" spans="1:10" x14ac:dyDescent="0.2">
      <c r="A180" t="s">
        <v>288</v>
      </c>
      <c r="B180">
        <v>0</v>
      </c>
      <c r="C180">
        <v>2.31</v>
      </c>
      <c r="D180">
        <v>94</v>
      </c>
      <c r="E180">
        <v>2.4300000000000002</v>
      </c>
      <c r="F180">
        <v>92</v>
      </c>
      <c r="G180">
        <v>6.58</v>
      </c>
      <c r="H180">
        <v>136</v>
      </c>
      <c r="I180">
        <v>95</v>
      </c>
      <c r="J180">
        <v>102</v>
      </c>
    </row>
    <row r="181" spans="1:10" x14ac:dyDescent="0.2">
      <c r="A181" t="s">
        <v>289</v>
      </c>
      <c r="B181">
        <v>0</v>
      </c>
      <c r="C181">
        <v>2.54</v>
      </c>
      <c r="D181">
        <v>88</v>
      </c>
      <c r="E181">
        <v>2.86</v>
      </c>
      <c r="F181">
        <v>90</v>
      </c>
      <c r="G181">
        <v>7.32</v>
      </c>
      <c r="H181">
        <v>138</v>
      </c>
      <c r="I181">
        <v>88</v>
      </c>
      <c r="J181">
        <v>91</v>
      </c>
    </row>
    <row r="182" spans="1:10" x14ac:dyDescent="0.2">
      <c r="A182" t="s">
        <v>291</v>
      </c>
      <c r="B182">
        <v>0</v>
      </c>
      <c r="C182">
        <v>3.62</v>
      </c>
      <c r="D182">
        <v>99</v>
      </c>
      <c r="E182">
        <v>4.41</v>
      </c>
      <c r="F182">
        <v>104</v>
      </c>
      <c r="G182">
        <v>7.63</v>
      </c>
      <c r="H182">
        <v>97</v>
      </c>
      <c r="I182">
        <v>82</v>
      </c>
      <c r="J182">
        <v>92</v>
      </c>
    </row>
    <row r="183" spans="1:10" x14ac:dyDescent="0.2">
      <c r="A183" t="s">
        <v>294</v>
      </c>
      <c r="B183">
        <v>0</v>
      </c>
      <c r="C183">
        <v>2.91</v>
      </c>
      <c r="D183">
        <v>90</v>
      </c>
      <c r="E183">
        <v>3.48</v>
      </c>
      <c r="F183">
        <v>93</v>
      </c>
      <c r="G183">
        <v>5.2</v>
      </c>
      <c r="H183">
        <v>72</v>
      </c>
      <c r="I183">
        <v>83</v>
      </c>
      <c r="J183">
        <v>95</v>
      </c>
    </row>
    <row r="184" spans="1:10" x14ac:dyDescent="0.2">
      <c r="A184" t="s">
        <v>295</v>
      </c>
      <c r="B184">
        <v>1</v>
      </c>
      <c r="C184">
        <v>4.32</v>
      </c>
      <c r="D184">
        <v>91</v>
      </c>
      <c r="E184">
        <v>5.18</v>
      </c>
      <c r="F184">
        <v>101</v>
      </c>
      <c r="G184">
        <v>11.05</v>
      </c>
      <c r="H184">
        <v>102</v>
      </c>
      <c r="I184">
        <v>83</v>
      </c>
      <c r="J184">
        <v>88</v>
      </c>
    </row>
    <row r="185" spans="1:10" x14ac:dyDescent="0.2">
      <c r="A185" t="s">
        <v>296</v>
      </c>
      <c r="B185">
        <v>0</v>
      </c>
      <c r="C185">
        <v>3</v>
      </c>
      <c r="D185">
        <v>101</v>
      </c>
      <c r="E185">
        <v>3.23</v>
      </c>
      <c r="F185">
        <v>101</v>
      </c>
      <c r="G185">
        <v>5.61</v>
      </c>
      <c r="H185">
        <v>93</v>
      </c>
      <c r="I185">
        <v>92</v>
      </c>
      <c r="J185">
        <v>99</v>
      </c>
    </row>
    <row r="186" spans="1:10" x14ac:dyDescent="0.2">
      <c r="A186" t="s">
        <v>297</v>
      </c>
      <c r="B186">
        <v>0</v>
      </c>
      <c r="C186">
        <v>3.29</v>
      </c>
      <c r="D186">
        <v>121</v>
      </c>
      <c r="E186">
        <v>3.5</v>
      </c>
      <c r="F186">
        <v>121</v>
      </c>
      <c r="G186">
        <v>6.91</v>
      </c>
      <c r="H186">
        <v>125</v>
      </c>
      <c r="I186">
        <v>92</v>
      </c>
      <c r="J186">
        <v>99</v>
      </c>
    </row>
    <row r="187" spans="1:10" x14ac:dyDescent="0.2">
      <c r="A187" t="s">
        <v>298</v>
      </c>
      <c r="B187">
        <v>1</v>
      </c>
      <c r="C187">
        <v>3.78</v>
      </c>
      <c r="D187">
        <v>82</v>
      </c>
      <c r="E187">
        <v>4.4800000000000004</v>
      </c>
      <c r="F187">
        <v>87</v>
      </c>
      <c r="G187">
        <v>8.9</v>
      </c>
      <c r="H187">
        <v>91</v>
      </c>
      <c r="I187">
        <v>84</v>
      </c>
      <c r="J187">
        <v>89</v>
      </c>
    </row>
    <row r="188" spans="1:10" x14ac:dyDescent="0.2">
      <c r="A188" t="s">
        <v>301</v>
      </c>
      <c r="B188">
        <v>0</v>
      </c>
      <c r="C188">
        <v>3.05</v>
      </c>
      <c r="D188">
        <v>92</v>
      </c>
      <c r="E188">
        <v>3.7</v>
      </c>
      <c r="F188">
        <v>102</v>
      </c>
      <c r="G188">
        <v>6.49</v>
      </c>
      <c r="H188">
        <v>113</v>
      </c>
      <c r="I188">
        <v>82</v>
      </c>
      <c r="J188">
        <v>84</v>
      </c>
    </row>
    <row r="189" spans="1:10" x14ac:dyDescent="0.2">
      <c r="A189" t="s">
        <v>304</v>
      </c>
      <c r="B189" s="4">
        <v>0</v>
      </c>
      <c r="C189" s="18">
        <v>3.36</v>
      </c>
      <c r="D189" s="18">
        <v>120</v>
      </c>
      <c r="E189" s="18">
        <v>3.68</v>
      </c>
      <c r="F189" s="18">
        <v>121</v>
      </c>
      <c r="G189" s="18">
        <v>7.09</v>
      </c>
      <c r="H189" s="18">
        <v>139</v>
      </c>
      <c r="I189" s="18">
        <v>91</v>
      </c>
      <c r="J189" s="18">
        <v>98</v>
      </c>
    </row>
    <row r="190" spans="1:10" x14ac:dyDescent="0.2">
      <c r="A190" t="s">
        <v>305</v>
      </c>
      <c r="B190" s="4">
        <v>0</v>
      </c>
      <c r="C190" s="16">
        <v>2.98</v>
      </c>
      <c r="D190" s="18">
        <v>97</v>
      </c>
      <c r="E190" s="16">
        <v>3.42</v>
      </c>
      <c r="F190" s="18">
        <v>101</v>
      </c>
      <c r="G190" s="16">
        <v>6</v>
      </c>
      <c r="H190" s="18">
        <v>112</v>
      </c>
      <c r="I190" s="18">
        <v>87</v>
      </c>
      <c r="J190" s="18">
        <v>90</v>
      </c>
    </row>
    <row r="191" spans="1:10" x14ac:dyDescent="0.2">
      <c r="A191" t="s">
        <v>307</v>
      </c>
      <c r="B191" s="4">
        <v>0</v>
      </c>
      <c r="C191" s="16">
        <v>3.48</v>
      </c>
      <c r="D191" s="18">
        <v>121</v>
      </c>
      <c r="E191" s="16">
        <v>3.72</v>
      </c>
      <c r="F191" s="18">
        <v>119</v>
      </c>
      <c r="G191" s="16">
        <v>6.59</v>
      </c>
      <c r="H191" s="18">
        <v>121</v>
      </c>
      <c r="I191" s="18">
        <v>93</v>
      </c>
      <c r="J191" s="18">
        <v>100</v>
      </c>
    </row>
    <row r="192" spans="1:10" x14ac:dyDescent="0.2">
      <c r="B192" s="4"/>
      <c r="C192" s="17"/>
      <c r="D192" s="17"/>
      <c r="E192" s="17"/>
      <c r="F192" s="17"/>
      <c r="G192" s="17"/>
      <c r="H192" s="17"/>
      <c r="I192" s="17"/>
      <c r="J192" s="17"/>
    </row>
    <row r="193" spans="2:10" x14ac:dyDescent="0.2">
      <c r="B193" s="4"/>
      <c r="C193" s="16"/>
      <c r="D193" s="16"/>
      <c r="E193" s="16"/>
      <c r="F193" s="16"/>
      <c r="G193" s="16"/>
      <c r="H193" s="16"/>
      <c r="I193" s="16"/>
      <c r="J193" s="16"/>
    </row>
  </sheetData>
  <sortState xmlns:xlrd2="http://schemas.microsoft.com/office/spreadsheetml/2017/richdata2" ref="A2:M26">
    <sortCondition ref="B2:B26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98"/>
  <sheetViews>
    <sheetView topLeftCell="R1" workbookViewId="0">
      <selection activeCell="AK3" sqref="AK3:AK192"/>
    </sheetView>
  </sheetViews>
  <sheetFormatPr baseColWidth="10" defaultColWidth="9.1640625" defaultRowHeight="15" x14ac:dyDescent="0.2"/>
  <cols>
    <col min="1" max="1" width="30" style="4" bestFit="1" customWidth="1"/>
    <col min="2" max="5" width="9.1640625" style="4"/>
    <col min="6" max="7" width="6.5" style="4" bestFit="1" customWidth="1"/>
    <col min="8" max="9" width="7.5" style="4" bestFit="1" customWidth="1"/>
    <col min="10" max="12" width="8.1640625" style="4" bestFit="1" customWidth="1"/>
    <col min="13" max="13" width="7.33203125" style="4" bestFit="1" customWidth="1"/>
    <col min="14" max="14" width="9.1640625" style="4"/>
    <col min="15" max="16" width="6.5" style="4" bestFit="1" customWidth="1"/>
    <col min="17" max="18" width="7.5" style="4" bestFit="1" customWidth="1"/>
    <col min="19" max="21" width="8.1640625" style="4" bestFit="1" customWidth="1"/>
    <col min="22" max="22" width="7.33203125" style="4" bestFit="1" customWidth="1"/>
    <col min="23" max="23" width="9.1640625" style="4"/>
    <col min="24" max="25" width="6.5" style="4" bestFit="1" customWidth="1"/>
    <col min="26" max="27" width="7.5" style="4" bestFit="1" customWidth="1"/>
    <col min="28" max="30" width="8.1640625" style="4" bestFit="1" customWidth="1"/>
    <col min="31" max="31" width="7.33203125" style="4" bestFit="1" customWidth="1"/>
    <col min="32" max="32" width="17.33203125" style="7" bestFit="1" customWidth="1"/>
    <col min="33" max="33" width="14.33203125" style="7" bestFit="1" customWidth="1"/>
    <col min="34" max="34" width="9.1640625" style="4"/>
    <col min="35" max="35" width="9.1640625" style="7"/>
    <col min="36" max="16384" width="9.1640625" style="4"/>
  </cols>
  <sheetData>
    <row r="1" spans="1:38" x14ac:dyDescent="0.2">
      <c r="B1" s="9" t="s">
        <v>1</v>
      </c>
      <c r="C1" s="9" t="s">
        <v>3</v>
      </c>
      <c r="D1" s="9" t="s">
        <v>64</v>
      </c>
      <c r="E1" s="9" t="s">
        <v>5</v>
      </c>
      <c r="H1" s="19" t="s">
        <v>25</v>
      </c>
      <c r="I1" s="19"/>
      <c r="Q1" s="19" t="s">
        <v>30</v>
      </c>
      <c r="R1" s="19"/>
      <c r="Z1" s="19" t="s">
        <v>31</v>
      </c>
      <c r="AA1" s="19"/>
    </row>
    <row r="2" spans="1:38" s="12" customFormat="1" x14ac:dyDescent="0.2">
      <c r="B2" s="4"/>
      <c r="D2" s="7"/>
      <c r="E2" s="7"/>
      <c r="F2" s="12" t="s">
        <v>21</v>
      </c>
      <c r="G2" s="12" t="s">
        <v>22</v>
      </c>
      <c r="H2" s="12" t="s">
        <v>23</v>
      </c>
      <c r="I2" s="12" t="s">
        <v>24</v>
      </c>
      <c r="J2" s="12" t="s">
        <v>26</v>
      </c>
      <c r="K2" s="12" t="s">
        <v>27</v>
      </c>
      <c r="L2" s="12" t="s">
        <v>28</v>
      </c>
      <c r="M2" s="12" t="s">
        <v>29</v>
      </c>
      <c r="O2" s="12" t="s">
        <v>21</v>
      </c>
      <c r="P2" s="12" t="s">
        <v>22</v>
      </c>
      <c r="Q2" s="12" t="s">
        <v>23</v>
      </c>
      <c r="R2" s="12" t="s">
        <v>24</v>
      </c>
      <c r="S2" s="12" t="s">
        <v>26</v>
      </c>
      <c r="T2" s="12" t="s">
        <v>27</v>
      </c>
      <c r="U2" s="12" t="s">
        <v>28</v>
      </c>
      <c r="V2" s="12" t="s">
        <v>29</v>
      </c>
      <c r="X2" s="12" t="s">
        <v>21</v>
      </c>
      <c r="Y2" s="12" t="s">
        <v>22</v>
      </c>
      <c r="Z2" s="12" t="s">
        <v>23</v>
      </c>
      <c r="AA2" s="12" t="s">
        <v>24</v>
      </c>
      <c r="AB2" s="12" t="s">
        <v>26</v>
      </c>
      <c r="AC2" s="12" t="s">
        <v>27</v>
      </c>
      <c r="AD2" s="12" t="s">
        <v>28</v>
      </c>
      <c r="AE2" s="12" t="s">
        <v>29</v>
      </c>
      <c r="AF2" s="14" t="s">
        <v>81</v>
      </c>
      <c r="AG2" s="14" t="s">
        <v>313</v>
      </c>
      <c r="AI2" s="14" t="s">
        <v>82</v>
      </c>
      <c r="AK2" s="12" t="s">
        <v>314</v>
      </c>
      <c r="AL2" s="4"/>
    </row>
    <row r="3" spans="1:38" x14ac:dyDescent="0.2">
      <c r="A3" s="4" t="s">
        <v>36</v>
      </c>
      <c r="B3" s="4">
        <v>0</v>
      </c>
      <c r="C3" s="4">
        <v>173</v>
      </c>
      <c r="D3" s="4">
        <v>32</v>
      </c>
      <c r="E3" s="7">
        <v>19.713321527615356</v>
      </c>
      <c r="F3" s="4">
        <v>76</v>
      </c>
      <c r="G3" s="4">
        <v>130</v>
      </c>
      <c r="H3" s="4">
        <v>98</v>
      </c>
      <c r="I3" s="4">
        <v>99</v>
      </c>
      <c r="J3" s="4">
        <v>0</v>
      </c>
      <c r="K3" s="4">
        <v>1</v>
      </c>
      <c r="L3" s="4">
        <v>2</v>
      </c>
      <c r="M3" s="4">
        <v>650</v>
      </c>
      <c r="O3" s="4">
        <v>86</v>
      </c>
      <c r="P3" s="4">
        <v>112</v>
      </c>
      <c r="Q3" s="4">
        <v>99</v>
      </c>
      <c r="R3" s="4">
        <v>96</v>
      </c>
      <c r="S3" s="4">
        <v>0</v>
      </c>
      <c r="T3" s="4">
        <v>2</v>
      </c>
      <c r="U3" s="4">
        <v>2</v>
      </c>
      <c r="V3" s="4">
        <v>811</v>
      </c>
      <c r="X3" s="4">
        <v>114</v>
      </c>
      <c r="Y3" s="4">
        <v>114</v>
      </c>
      <c r="Z3" s="4">
        <v>98</v>
      </c>
      <c r="AA3" s="4">
        <v>97</v>
      </c>
      <c r="AB3" s="4">
        <v>0</v>
      </c>
      <c r="AC3" s="4">
        <v>2</v>
      </c>
      <c r="AD3" s="4">
        <v>2</v>
      </c>
      <c r="AE3" s="4">
        <v>714</v>
      </c>
      <c r="AF3" s="7">
        <f>890.46-(6.11*D3)+(0.0345*D3*D3)+(48.87*B3) -(4.87*E3)</f>
        <v>634.26412416051323</v>
      </c>
      <c r="AG3" s="7">
        <f>AE3/AF3*100</f>
        <v>112.57139932753127</v>
      </c>
      <c r="AI3" s="7">
        <f xml:space="preserve"> 356.658-(2.303*D3)+(36.648*B3)+(1.704*C3)+(1.365*Y3-X3)</f>
        <v>619.36399999999992</v>
      </c>
      <c r="AK3" s="4">
        <f>AF3/AI3*100</f>
        <v>102.40571362890212</v>
      </c>
    </row>
    <row r="4" spans="1:38" x14ac:dyDescent="0.2">
      <c r="A4" s="4" t="s">
        <v>37</v>
      </c>
      <c r="B4" s="4">
        <v>0</v>
      </c>
      <c r="C4" s="4">
        <v>164</v>
      </c>
      <c r="D4" s="4">
        <v>35</v>
      </c>
      <c r="E4" s="7">
        <v>21.192742415229034</v>
      </c>
      <c r="F4" s="4">
        <v>78</v>
      </c>
      <c r="G4" s="4">
        <v>120</v>
      </c>
      <c r="H4" s="4">
        <v>98</v>
      </c>
      <c r="I4" s="4">
        <v>98</v>
      </c>
      <c r="J4" s="4">
        <v>0</v>
      </c>
      <c r="K4" s="4">
        <v>1</v>
      </c>
      <c r="L4" s="4">
        <v>2</v>
      </c>
      <c r="M4" s="4">
        <v>650</v>
      </c>
      <c r="O4" s="4">
        <v>86</v>
      </c>
      <c r="P4" s="4">
        <v>112</v>
      </c>
      <c r="Q4" s="4">
        <v>99</v>
      </c>
      <c r="R4" s="4">
        <v>96</v>
      </c>
      <c r="S4" s="4">
        <v>0</v>
      </c>
      <c r="T4" s="4">
        <v>2</v>
      </c>
      <c r="U4" s="4">
        <v>2</v>
      </c>
      <c r="V4" s="4">
        <v>811</v>
      </c>
      <c r="X4" s="4">
        <v>114</v>
      </c>
      <c r="Y4" s="4">
        <v>114</v>
      </c>
      <c r="Z4" s="4">
        <v>98</v>
      </c>
      <c r="AA4" s="4">
        <v>97</v>
      </c>
      <c r="AB4" s="4">
        <v>0</v>
      </c>
      <c r="AC4" s="4">
        <v>2</v>
      </c>
      <c r="AD4" s="4">
        <v>2</v>
      </c>
      <c r="AE4" s="4">
        <v>714</v>
      </c>
      <c r="AF4" s="7">
        <f>890.46-(6.11*D4)+(0.0345*D4*D4)+(48.87*B4) -(4.87*E4)</f>
        <v>615.66384443783465</v>
      </c>
      <c r="AG4" s="7">
        <f t="shared" ref="AG4:AG67" si="0">AE4/AF4*100</f>
        <v>115.97237785693855</v>
      </c>
      <c r="AI4" s="7">
        <f xml:space="preserve"> 356.658-(2.303*D4)+(36.648*B4)+(1.704*C4)+(1.365*Y4-X4)</f>
        <v>597.11900000000003</v>
      </c>
      <c r="AK4" s="4">
        <f t="shared" ref="AK4:AK67" si="1">AF4/AI4*100</f>
        <v>103.10572003869156</v>
      </c>
    </row>
    <row r="5" spans="1:38" x14ac:dyDescent="0.2">
      <c r="A5" s="4" t="s">
        <v>39</v>
      </c>
      <c r="B5" s="4">
        <v>0</v>
      </c>
      <c r="C5" s="4">
        <v>156</v>
      </c>
      <c r="D5" s="4">
        <v>23</v>
      </c>
      <c r="E5" s="7">
        <v>29.585798816568044</v>
      </c>
      <c r="F5" s="4">
        <v>84</v>
      </c>
      <c r="G5" s="4">
        <v>144</v>
      </c>
      <c r="H5" s="4">
        <v>98</v>
      </c>
      <c r="I5" s="4">
        <v>98</v>
      </c>
      <c r="J5" s="4">
        <v>3</v>
      </c>
      <c r="K5" s="4">
        <v>5</v>
      </c>
      <c r="L5" s="4">
        <v>7</v>
      </c>
      <c r="M5" s="4">
        <v>569</v>
      </c>
      <c r="O5" s="4">
        <v>83</v>
      </c>
      <c r="P5" s="4">
        <v>130</v>
      </c>
      <c r="Q5" s="4">
        <v>98</v>
      </c>
      <c r="R5" s="4">
        <v>99</v>
      </c>
      <c r="S5" s="4">
        <v>2</v>
      </c>
      <c r="T5" s="4">
        <v>5</v>
      </c>
      <c r="U5" s="4">
        <v>7</v>
      </c>
      <c r="V5" s="4">
        <v>624</v>
      </c>
      <c r="X5" s="4">
        <v>76</v>
      </c>
      <c r="Y5" s="4">
        <v>110</v>
      </c>
      <c r="Z5" s="4">
        <v>99</v>
      </c>
      <c r="AA5" s="4">
        <v>94</v>
      </c>
      <c r="AB5" s="4">
        <v>0</v>
      </c>
      <c r="AC5" s="4">
        <v>3</v>
      </c>
      <c r="AD5" s="4">
        <v>6</v>
      </c>
      <c r="AE5" s="4">
        <v>650</v>
      </c>
      <c r="AF5" s="7">
        <f t="shared" ref="AF5:AF73" si="2">890.46-(6.11*D5)+(0.0345*D5*D5)+(48.87*B5) -(4.87*E5)</f>
        <v>624.09765976331369</v>
      </c>
      <c r="AG5" s="7">
        <f t="shared" si="0"/>
        <v>104.15036650618265</v>
      </c>
      <c r="AI5" s="7">
        <f t="shared" ref="AI5:AI67" si="3" xml:space="preserve"> 356.658-(2.303*D5)+(36.648*B5)+(1.704*C5)+(1.365*Y5-X5)</f>
        <v>643.66300000000001</v>
      </c>
      <c r="AK5" s="4">
        <f t="shared" si="1"/>
        <v>96.960313046316742</v>
      </c>
    </row>
    <row r="6" spans="1:38" x14ac:dyDescent="0.2">
      <c r="A6" s="4" t="s">
        <v>40</v>
      </c>
      <c r="B6" s="4">
        <v>0</v>
      </c>
      <c r="C6" s="4">
        <v>165</v>
      </c>
      <c r="D6" s="4">
        <v>22</v>
      </c>
      <c r="E6" s="7">
        <v>19.100091827364558</v>
      </c>
      <c r="F6" s="4">
        <v>117</v>
      </c>
      <c r="G6" s="4">
        <v>172</v>
      </c>
      <c r="H6" s="4">
        <v>99</v>
      </c>
      <c r="I6" s="4">
        <v>99</v>
      </c>
      <c r="J6" s="4">
        <v>0</v>
      </c>
      <c r="K6" s="4">
        <v>6</v>
      </c>
      <c r="L6" s="4">
        <v>6</v>
      </c>
      <c r="M6" s="4">
        <v>600</v>
      </c>
      <c r="O6" s="4">
        <v>124</v>
      </c>
      <c r="P6" s="4">
        <v>102</v>
      </c>
      <c r="Q6" s="4">
        <v>99</v>
      </c>
      <c r="R6" s="4">
        <v>99</v>
      </c>
      <c r="S6" s="4">
        <v>0</v>
      </c>
      <c r="T6" s="4">
        <v>3</v>
      </c>
      <c r="U6" s="4">
        <v>6</v>
      </c>
      <c r="V6" s="4">
        <v>680</v>
      </c>
      <c r="X6" s="4">
        <v>104</v>
      </c>
      <c r="Y6" s="4">
        <v>127</v>
      </c>
      <c r="Z6" s="4">
        <v>97</v>
      </c>
      <c r="AA6" s="4">
        <v>98</v>
      </c>
      <c r="AB6" s="4">
        <v>0</v>
      </c>
      <c r="AC6" s="4">
        <v>4</v>
      </c>
      <c r="AD6" s="4">
        <v>6</v>
      </c>
      <c r="AE6" s="4">
        <v>757</v>
      </c>
      <c r="AF6" s="7">
        <f t="shared" si="2"/>
        <v>679.72055280073459</v>
      </c>
      <c r="AG6" s="7">
        <f t="shared" si="0"/>
        <v>111.36929682070691</v>
      </c>
      <c r="AI6" s="7">
        <f t="shared" si="3"/>
        <v>656.50700000000006</v>
      </c>
      <c r="AK6" s="4">
        <f t="shared" si="1"/>
        <v>103.5359185508661</v>
      </c>
    </row>
    <row r="7" spans="1:38" x14ac:dyDescent="0.2">
      <c r="A7" s="4" t="s">
        <v>42</v>
      </c>
      <c r="B7" s="4">
        <v>0</v>
      </c>
      <c r="C7" s="10">
        <v>158</v>
      </c>
      <c r="D7" s="4">
        <v>28</v>
      </c>
      <c r="E7" s="7">
        <v>24.515302034930297</v>
      </c>
      <c r="F7" s="4">
        <v>85</v>
      </c>
      <c r="G7" s="4">
        <v>112</v>
      </c>
      <c r="H7" s="4">
        <v>97</v>
      </c>
      <c r="I7" s="4">
        <v>99</v>
      </c>
      <c r="J7" s="4">
        <v>0</v>
      </c>
      <c r="K7" s="4">
        <v>1</v>
      </c>
      <c r="L7" s="4">
        <v>2</v>
      </c>
      <c r="M7" s="4">
        <v>519</v>
      </c>
      <c r="O7" s="4">
        <v>75</v>
      </c>
      <c r="P7" s="4">
        <v>118</v>
      </c>
      <c r="Q7" s="4">
        <v>97</v>
      </c>
      <c r="R7" s="4">
        <v>99</v>
      </c>
      <c r="S7" s="4">
        <v>0</v>
      </c>
      <c r="T7" s="4">
        <v>2</v>
      </c>
      <c r="U7" s="4">
        <v>3</v>
      </c>
      <c r="V7" s="4">
        <v>588</v>
      </c>
      <c r="X7" s="4">
        <v>104</v>
      </c>
      <c r="Y7" s="4">
        <v>119</v>
      </c>
      <c r="Z7" s="4">
        <v>99</v>
      </c>
      <c r="AA7" s="4">
        <v>98</v>
      </c>
      <c r="AB7" s="4">
        <v>0</v>
      </c>
      <c r="AC7" s="4">
        <v>2</v>
      </c>
      <c r="AD7" s="4">
        <v>3</v>
      </c>
      <c r="AE7" s="4">
        <v>640</v>
      </c>
      <c r="AF7" s="7">
        <f t="shared" si="2"/>
        <v>627.03847908988951</v>
      </c>
      <c r="AG7" s="7">
        <f t="shared" si="0"/>
        <v>102.06710135698904</v>
      </c>
      <c r="AI7" s="7">
        <f t="shared" si="3"/>
        <v>619.84099999999989</v>
      </c>
      <c r="AK7" s="4">
        <f t="shared" si="1"/>
        <v>101.16118151104712</v>
      </c>
    </row>
    <row r="8" spans="1:38" x14ac:dyDescent="0.2">
      <c r="A8" s="4" t="s">
        <v>43</v>
      </c>
      <c r="B8" s="4">
        <v>0</v>
      </c>
      <c r="C8" s="4">
        <v>159</v>
      </c>
      <c r="D8" s="4">
        <v>31</v>
      </c>
      <c r="E8" s="7">
        <v>28.875440053795337</v>
      </c>
      <c r="F8" s="4">
        <v>117</v>
      </c>
      <c r="G8" s="4">
        <v>152</v>
      </c>
      <c r="H8" s="4">
        <v>98</v>
      </c>
      <c r="I8" s="4">
        <v>97</v>
      </c>
      <c r="J8" s="4">
        <v>1</v>
      </c>
      <c r="K8" s="4">
        <v>3</v>
      </c>
      <c r="L8" s="4">
        <v>2</v>
      </c>
      <c r="M8" s="4">
        <v>571</v>
      </c>
      <c r="O8" s="4">
        <v>118</v>
      </c>
      <c r="P8" s="4">
        <v>127</v>
      </c>
      <c r="Q8" s="4">
        <v>95</v>
      </c>
      <c r="R8" s="4">
        <v>98</v>
      </c>
      <c r="S8" s="4">
        <v>1</v>
      </c>
      <c r="T8" s="4">
        <v>4</v>
      </c>
      <c r="U8" s="4">
        <v>4</v>
      </c>
      <c r="V8" s="4">
        <v>595</v>
      </c>
      <c r="X8" s="4">
        <v>112</v>
      </c>
      <c r="Y8" s="4">
        <v>138</v>
      </c>
      <c r="Z8" s="4">
        <v>99</v>
      </c>
      <c r="AA8" s="4">
        <v>98</v>
      </c>
      <c r="AB8" s="4">
        <v>0</v>
      </c>
      <c r="AC8" s="4">
        <v>4</v>
      </c>
      <c r="AD8" s="4">
        <v>4</v>
      </c>
      <c r="AE8" s="4">
        <v>561</v>
      </c>
      <c r="AF8" s="7">
        <f t="shared" si="2"/>
        <v>593.58110693801677</v>
      </c>
      <c r="AG8" s="7">
        <f t="shared" si="0"/>
        <v>94.511094346299842</v>
      </c>
      <c r="AI8" s="7">
        <f t="shared" si="3"/>
        <v>632.57100000000003</v>
      </c>
      <c r="AK8" s="4">
        <f t="shared" si="1"/>
        <v>93.836281925351742</v>
      </c>
    </row>
    <row r="9" spans="1:38" x14ac:dyDescent="0.2">
      <c r="A9" s="4" t="s">
        <v>44</v>
      </c>
      <c r="B9" s="4">
        <v>0</v>
      </c>
      <c r="C9" s="4">
        <v>180</v>
      </c>
      <c r="D9" s="4">
        <v>34</v>
      </c>
      <c r="E9" s="7">
        <v>27.777777777777775</v>
      </c>
      <c r="F9" s="4">
        <v>124</v>
      </c>
      <c r="G9" s="4">
        <v>171</v>
      </c>
      <c r="H9" s="4">
        <v>98</v>
      </c>
      <c r="I9" s="4">
        <v>98</v>
      </c>
      <c r="J9" s="4">
        <v>4</v>
      </c>
      <c r="K9" s="4">
        <v>5</v>
      </c>
      <c r="L9" s="4">
        <v>8</v>
      </c>
      <c r="M9" s="4">
        <v>540</v>
      </c>
      <c r="O9" s="4">
        <v>79</v>
      </c>
      <c r="P9" s="4">
        <v>98</v>
      </c>
      <c r="Q9" s="4">
        <v>99</v>
      </c>
      <c r="R9" s="4">
        <v>98</v>
      </c>
      <c r="S9" s="4">
        <v>0</v>
      </c>
      <c r="T9" s="4">
        <v>3</v>
      </c>
      <c r="U9" s="4">
        <v>4</v>
      </c>
      <c r="V9" s="4">
        <v>585</v>
      </c>
      <c r="X9" s="4">
        <v>57</v>
      </c>
      <c r="Y9" s="4">
        <v>160</v>
      </c>
      <c r="Z9" s="4">
        <v>98</v>
      </c>
      <c r="AA9" s="4">
        <v>98</v>
      </c>
      <c r="AB9" s="4">
        <v>3</v>
      </c>
      <c r="AC9" s="4">
        <v>5</v>
      </c>
      <c r="AD9" s="4">
        <v>7</v>
      </c>
      <c r="AE9" s="4">
        <v>727</v>
      </c>
      <c r="AF9" s="7">
        <f t="shared" si="2"/>
        <v>587.32422222222226</v>
      </c>
      <c r="AG9" s="7">
        <f t="shared" si="0"/>
        <v>123.78171587224773</v>
      </c>
      <c r="AI9" s="7">
        <f t="shared" si="3"/>
        <v>746.476</v>
      </c>
      <c r="AK9" s="4">
        <f t="shared" si="1"/>
        <v>78.679585441758647</v>
      </c>
    </row>
    <row r="10" spans="1:38" x14ac:dyDescent="0.2">
      <c r="A10" s="4" t="s">
        <v>45</v>
      </c>
      <c r="B10" s="4">
        <v>0</v>
      </c>
      <c r="C10" s="4">
        <v>160</v>
      </c>
      <c r="D10" s="4">
        <v>29</v>
      </c>
      <c r="E10" s="7">
        <v>26.562499999999996</v>
      </c>
      <c r="F10" s="4">
        <v>65</v>
      </c>
      <c r="G10" s="4">
        <v>136</v>
      </c>
      <c r="H10" s="4">
        <v>98</v>
      </c>
      <c r="I10" s="4">
        <v>98</v>
      </c>
      <c r="J10" s="4">
        <v>1</v>
      </c>
      <c r="K10" s="4">
        <v>4</v>
      </c>
      <c r="L10" s="4">
        <v>5</v>
      </c>
      <c r="M10" s="4">
        <v>760</v>
      </c>
      <c r="O10" s="4">
        <v>74</v>
      </c>
      <c r="P10" s="4">
        <v>137</v>
      </c>
      <c r="Q10" s="4">
        <v>97</v>
      </c>
      <c r="R10" s="4">
        <v>98</v>
      </c>
      <c r="S10" s="4">
        <v>1</v>
      </c>
      <c r="T10" s="4">
        <v>4</v>
      </c>
      <c r="U10" s="4">
        <v>4</v>
      </c>
      <c r="V10" s="4">
        <v>740</v>
      </c>
      <c r="X10" s="4">
        <v>105</v>
      </c>
      <c r="Y10" s="4">
        <v>131</v>
      </c>
      <c r="Z10" s="4">
        <v>99</v>
      </c>
      <c r="AA10" s="4">
        <v>97</v>
      </c>
      <c r="AB10" s="4">
        <v>2</v>
      </c>
      <c r="AC10" s="4">
        <v>4</v>
      </c>
      <c r="AD10" s="4">
        <v>4</v>
      </c>
      <c r="AE10" s="4">
        <v>668</v>
      </c>
      <c r="AF10" s="7">
        <f t="shared" si="2"/>
        <v>612.92512499999998</v>
      </c>
      <c r="AG10" s="7">
        <f t="shared" si="0"/>
        <v>108.98557960077098</v>
      </c>
      <c r="AI10" s="7">
        <f t="shared" si="3"/>
        <v>636.32600000000002</v>
      </c>
      <c r="AK10" s="4">
        <f t="shared" si="1"/>
        <v>96.322502145126862</v>
      </c>
    </row>
    <row r="11" spans="1:38" x14ac:dyDescent="0.2">
      <c r="A11" s="4" t="s">
        <v>47</v>
      </c>
      <c r="B11" s="4">
        <v>0</v>
      </c>
      <c r="C11" s="4">
        <v>165</v>
      </c>
      <c r="D11" s="4">
        <v>23</v>
      </c>
      <c r="E11" s="7">
        <v>30.486685032139579</v>
      </c>
      <c r="F11" s="4">
        <v>108</v>
      </c>
      <c r="G11" s="4">
        <v>143</v>
      </c>
      <c r="H11" s="4">
        <v>98</v>
      </c>
      <c r="I11" s="4">
        <v>98</v>
      </c>
      <c r="J11" s="4">
        <v>0</v>
      </c>
      <c r="K11" s="4">
        <v>5</v>
      </c>
      <c r="L11" s="4">
        <v>6</v>
      </c>
      <c r="M11" s="4">
        <v>502</v>
      </c>
      <c r="O11" s="4">
        <v>116</v>
      </c>
      <c r="P11" s="4">
        <v>124</v>
      </c>
      <c r="Q11" s="4">
        <v>98</v>
      </c>
      <c r="R11" s="4">
        <v>88</v>
      </c>
      <c r="S11" s="4">
        <v>0</v>
      </c>
      <c r="T11" s="4">
        <v>5</v>
      </c>
      <c r="U11" s="4">
        <v>6</v>
      </c>
      <c r="V11" s="4">
        <v>646</v>
      </c>
      <c r="X11" s="4">
        <v>106</v>
      </c>
      <c r="Y11" s="4">
        <v>124</v>
      </c>
      <c r="Z11" s="4">
        <v>99</v>
      </c>
      <c r="AA11" s="4">
        <v>96</v>
      </c>
      <c r="AB11" s="4">
        <v>0</v>
      </c>
      <c r="AC11" s="4">
        <v>4</v>
      </c>
      <c r="AD11" s="4">
        <v>4</v>
      </c>
      <c r="AE11" s="4">
        <v>417</v>
      </c>
      <c r="AF11" s="7">
        <f t="shared" si="2"/>
        <v>619.71034389348029</v>
      </c>
      <c r="AG11" s="7">
        <f t="shared" si="0"/>
        <v>67.289501314452252</v>
      </c>
      <c r="AI11" s="7">
        <f t="shared" si="3"/>
        <v>648.10899999999992</v>
      </c>
      <c r="AK11" s="4">
        <f t="shared" si="1"/>
        <v>95.618228398846554</v>
      </c>
    </row>
    <row r="12" spans="1:38" x14ac:dyDescent="0.2">
      <c r="A12" s="4" t="s">
        <v>51</v>
      </c>
      <c r="B12" s="4">
        <v>0</v>
      </c>
      <c r="C12" s="4">
        <v>170</v>
      </c>
      <c r="D12" s="4">
        <v>24</v>
      </c>
      <c r="E12" s="7">
        <v>24.221453287197235</v>
      </c>
      <c r="F12" s="4">
        <v>109</v>
      </c>
      <c r="G12" s="4">
        <v>138</v>
      </c>
      <c r="H12" s="4">
        <v>92</v>
      </c>
      <c r="I12" s="4">
        <v>99</v>
      </c>
      <c r="J12" s="4">
        <v>0</v>
      </c>
      <c r="K12" s="4">
        <v>4</v>
      </c>
      <c r="L12" s="4">
        <v>5</v>
      </c>
      <c r="M12" s="4">
        <v>595</v>
      </c>
      <c r="O12" s="4">
        <v>103</v>
      </c>
      <c r="P12" s="4">
        <v>107</v>
      </c>
      <c r="Q12" s="4">
        <v>99</v>
      </c>
      <c r="R12" s="4">
        <v>99</v>
      </c>
      <c r="S12" s="4">
        <v>0</v>
      </c>
      <c r="T12" s="4">
        <v>6</v>
      </c>
      <c r="U12" s="4">
        <v>8</v>
      </c>
      <c r="V12" s="4">
        <v>650</v>
      </c>
      <c r="X12" s="4">
        <v>98</v>
      </c>
      <c r="Y12" s="4">
        <v>121</v>
      </c>
      <c r="Z12" s="4">
        <v>93</v>
      </c>
      <c r="AA12" s="4">
        <v>98</v>
      </c>
      <c r="AB12" s="4">
        <v>3</v>
      </c>
      <c r="AC12" s="4">
        <v>4</v>
      </c>
      <c r="AD12" s="4">
        <v>6</v>
      </c>
      <c r="AE12" s="4">
        <v>630</v>
      </c>
      <c r="AF12" s="7">
        <f t="shared" si="2"/>
        <v>645.7335224913495</v>
      </c>
      <c r="AG12" s="7">
        <f t="shared" si="0"/>
        <v>97.563465122478561</v>
      </c>
      <c r="AI12" s="7">
        <f t="shared" si="3"/>
        <v>658.23099999999999</v>
      </c>
      <c r="AK12" s="4">
        <f t="shared" si="1"/>
        <v>98.101353854702907</v>
      </c>
    </row>
    <row r="13" spans="1:38" x14ac:dyDescent="0.2">
      <c r="A13" s="4" t="s">
        <v>52</v>
      </c>
      <c r="B13" s="4">
        <v>0</v>
      </c>
      <c r="C13" s="4">
        <v>154</v>
      </c>
      <c r="D13" s="4">
        <v>27</v>
      </c>
      <c r="E13" s="7">
        <v>21.08</v>
      </c>
      <c r="F13" s="4">
        <v>89</v>
      </c>
      <c r="G13" s="4">
        <v>123</v>
      </c>
      <c r="H13" s="4">
        <v>98</v>
      </c>
      <c r="I13" s="4">
        <v>98</v>
      </c>
      <c r="J13" s="8">
        <v>0</v>
      </c>
      <c r="K13" s="5">
        <v>1</v>
      </c>
      <c r="L13" s="5">
        <v>2</v>
      </c>
      <c r="M13" s="5">
        <v>578</v>
      </c>
      <c r="O13" s="6">
        <v>78</v>
      </c>
      <c r="P13" s="6">
        <v>117</v>
      </c>
      <c r="Q13" s="6">
        <v>98</v>
      </c>
      <c r="R13" s="6">
        <v>98</v>
      </c>
      <c r="S13" s="6">
        <v>0</v>
      </c>
      <c r="T13" s="6">
        <v>1</v>
      </c>
      <c r="U13" s="6">
        <v>2</v>
      </c>
      <c r="V13" s="6">
        <v>560</v>
      </c>
      <c r="X13" s="4">
        <v>76</v>
      </c>
      <c r="Y13" s="4">
        <v>111</v>
      </c>
      <c r="Z13" s="4">
        <v>99</v>
      </c>
      <c r="AA13" s="4">
        <v>98</v>
      </c>
      <c r="AB13" s="4">
        <v>0</v>
      </c>
      <c r="AC13" s="4">
        <v>2</v>
      </c>
      <c r="AD13" s="4">
        <v>2</v>
      </c>
      <c r="AE13" s="4">
        <v>540</v>
      </c>
      <c r="AF13" s="7">
        <f t="shared" si="2"/>
        <v>647.98090000000002</v>
      </c>
      <c r="AG13" s="7">
        <f t="shared" si="0"/>
        <v>83.335789681455125</v>
      </c>
      <c r="AI13" s="7">
        <f t="shared" si="3"/>
        <v>632.40800000000002</v>
      </c>
      <c r="AK13" s="4">
        <f t="shared" si="1"/>
        <v>102.46247675551226</v>
      </c>
    </row>
    <row r="14" spans="1:38" x14ac:dyDescent="0.2">
      <c r="A14" s="4" t="s">
        <v>53</v>
      </c>
      <c r="B14" s="4">
        <v>0</v>
      </c>
      <c r="C14" s="4">
        <v>173</v>
      </c>
      <c r="D14" s="4">
        <v>26</v>
      </c>
      <c r="E14" s="7">
        <v>24.391058839252899</v>
      </c>
      <c r="F14" s="4">
        <v>102</v>
      </c>
      <c r="G14" s="4">
        <v>134</v>
      </c>
      <c r="H14" s="4">
        <v>99</v>
      </c>
      <c r="I14" s="4">
        <v>97</v>
      </c>
      <c r="J14" s="4">
        <v>0</v>
      </c>
      <c r="K14" s="4">
        <v>2</v>
      </c>
      <c r="L14" s="4">
        <v>4</v>
      </c>
      <c r="M14" s="4">
        <v>574</v>
      </c>
      <c r="O14" s="4">
        <v>111</v>
      </c>
      <c r="P14" s="4">
        <v>164</v>
      </c>
      <c r="Q14" s="4">
        <v>99</v>
      </c>
      <c r="R14" s="4">
        <v>98</v>
      </c>
      <c r="S14" s="4">
        <v>0</v>
      </c>
      <c r="T14" s="4">
        <v>2</v>
      </c>
      <c r="U14" s="4">
        <v>4</v>
      </c>
      <c r="V14" s="4">
        <v>640</v>
      </c>
      <c r="X14" s="4">
        <v>95</v>
      </c>
      <c r="Y14" s="4">
        <v>137</v>
      </c>
      <c r="Z14" s="4">
        <v>99</v>
      </c>
      <c r="AA14" s="4">
        <v>98</v>
      </c>
      <c r="AB14" s="4">
        <v>0</v>
      </c>
      <c r="AC14" s="4">
        <v>2</v>
      </c>
      <c r="AD14" s="4">
        <v>3</v>
      </c>
      <c r="AE14" s="4">
        <v>620</v>
      </c>
      <c r="AF14" s="7">
        <f t="shared" si="2"/>
        <v>636.13754345283837</v>
      </c>
      <c r="AG14" s="7">
        <f t="shared" si="0"/>
        <v>97.463199017425268</v>
      </c>
      <c r="AI14" s="7">
        <f t="shared" si="3"/>
        <v>683.577</v>
      </c>
      <c r="AK14" s="4">
        <f t="shared" si="1"/>
        <v>93.060115166665696</v>
      </c>
    </row>
    <row r="15" spans="1:38" x14ac:dyDescent="0.2">
      <c r="A15" s="4" t="s">
        <v>62</v>
      </c>
      <c r="B15" s="4">
        <v>0</v>
      </c>
      <c r="C15" s="4">
        <v>168</v>
      </c>
      <c r="D15" s="4">
        <v>25</v>
      </c>
      <c r="E15" s="7">
        <v>20.195578231292519</v>
      </c>
      <c r="F15" s="4">
        <v>124</v>
      </c>
      <c r="G15" s="4">
        <v>165</v>
      </c>
      <c r="H15" s="4">
        <v>96</v>
      </c>
      <c r="I15" s="4">
        <v>97</v>
      </c>
      <c r="J15" s="4">
        <v>0</v>
      </c>
      <c r="K15" s="4">
        <v>3</v>
      </c>
      <c r="L15" s="4">
        <v>5</v>
      </c>
      <c r="M15" s="4">
        <v>640</v>
      </c>
      <c r="O15" s="4">
        <v>104</v>
      </c>
      <c r="P15" s="4">
        <v>136</v>
      </c>
      <c r="Q15" s="4">
        <v>98</v>
      </c>
      <c r="R15" s="4">
        <v>97</v>
      </c>
      <c r="S15" s="4">
        <v>0</v>
      </c>
      <c r="T15" s="4">
        <v>5</v>
      </c>
      <c r="U15" s="4">
        <v>8</v>
      </c>
      <c r="V15" s="4">
        <v>549</v>
      </c>
      <c r="X15" s="4">
        <v>70</v>
      </c>
      <c r="Y15" s="4">
        <v>168</v>
      </c>
      <c r="Z15" s="4">
        <v>98</v>
      </c>
      <c r="AA15" s="4">
        <v>98</v>
      </c>
      <c r="AB15" s="4">
        <v>0</v>
      </c>
      <c r="AC15" s="4">
        <v>4</v>
      </c>
      <c r="AD15" s="4">
        <v>6</v>
      </c>
      <c r="AE15" s="4">
        <v>506</v>
      </c>
      <c r="AF15" s="7">
        <f t="shared" si="2"/>
        <v>660.92003401360546</v>
      </c>
      <c r="AG15" s="7">
        <f t="shared" si="0"/>
        <v>76.559942800823563</v>
      </c>
      <c r="AI15" s="7">
        <f t="shared" si="3"/>
        <v>744.67499999999995</v>
      </c>
      <c r="AK15" s="4">
        <f t="shared" si="1"/>
        <v>88.752816196811423</v>
      </c>
    </row>
    <row r="16" spans="1:38" x14ac:dyDescent="0.2">
      <c r="A16" s="4" t="s">
        <v>55</v>
      </c>
      <c r="B16" s="4">
        <v>0</v>
      </c>
      <c r="C16" s="4">
        <v>161</v>
      </c>
      <c r="D16" s="4">
        <v>25</v>
      </c>
      <c r="E16" s="7">
        <v>23.147255121330193</v>
      </c>
      <c r="F16" s="4">
        <v>116</v>
      </c>
      <c r="G16" s="4">
        <v>143</v>
      </c>
      <c r="H16" s="4">
        <v>98</v>
      </c>
      <c r="I16" s="4">
        <v>96</v>
      </c>
      <c r="J16" s="4">
        <v>4</v>
      </c>
      <c r="K16" s="4">
        <v>5</v>
      </c>
      <c r="L16" s="4">
        <v>6</v>
      </c>
      <c r="M16" s="4">
        <v>550</v>
      </c>
      <c r="O16" s="4">
        <v>103</v>
      </c>
      <c r="P16" s="4">
        <v>148</v>
      </c>
      <c r="Q16" s="4">
        <v>97</v>
      </c>
      <c r="R16" s="4">
        <v>96</v>
      </c>
      <c r="S16" s="4">
        <v>3</v>
      </c>
      <c r="T16" s="4">
        <v>5</v>
      </c>
      <c r="U16" s="4">
        <v>5</v>
      </c>
      <c r="V16" s="4">
        <v>640</v>
      </c>
      <c r="X16" s="4">
        <v>89</v>
      </c>
      <c r="Y16" s="4">
        <v>127</v>
      </c>
      <c r="Z16" s="4">
        <v>99</v>
      </c>
      <c r="AA16" s="4">
        <v>99</v>
      </c>
      <c r="AB16" s="4">
        <v>3</v>
      </c>
      <c r="AC16" s="4">
        <v>4</v>
      </c>
      <c r="AD16" s="4">
        <v>4</v>
      </c>
      <c r="AE16" s="4">
        <v>660</v>
      </c>
      <c r="AF16" s="7">
        <f t="shared" si="2"/>
        <v>646.54536755912204</v>
      </c>
      <c r="AG16" s="7">
        <f t="shared" si="0"/>
        <v>102.08100361026059</v>
      </c>
      <c r="AI16" s="7">
        <f t="shared" si="3"/>
        <v>657.78200000000004</v>
      </c>
      <c r="AK16" s="4">
        <f t="shared" si="1"/>
        <v>98.291739141405827</v>
      </c>
    </row>
    <row r="17" spans="1:37" x14ac:dyDescent="0.2">
      <c r="A17" s="4" t="s">
        <v>56</v>
      </c>
      <c r="B17" s="4">
        <v>0</v>
      </c>
      <c r="C17" s="4">
        <v>164</v>
      </c>
      <c r="D17" s="4">
        <v>25</v>
      </c>
      <c r="E17" s="7">
        <v>27.141582391433676</v>
      </c>
      <c r="F17" s="4">
        <v>125</v>
      </c>
      <c r="G17" s="4">
        <v>148</v>
      </c>
      <c r="H17" s="4">
        <v>98</v>
      </c>
      <c r="I17" s="4">
        <v>98</v>
      </c>
      <c r="J17" s="4">
        <v>3</v>
      </c>
      <c r="K17" s="4">
        <v>4</v>
      </c>
      <c r="L17" s="4">
        <v>6</v>
      </c>
      <c r="M17" s="4">
        <v>535</v>
      </c>
      <c r="O17" s="4">
        <v>115</v>
      </c>
      <c r="P17" s="4">
        <v>133</v>
      </c>
      <c r="Q17" s="4">
        <v>99</v>
      </c>
      <c r="R17" s="4">
        <v>96</v>
      </c>
      <c r="S17" s="4">
        <v>2</v>
      </c>
      <c r="T17" s="4">
        <v>4</v>
      </c>
      <c r="U17" s="4">
        <v>6</v>
      </c>
      <c r="V17" s="4">
        <v>570</v>
      </c>
      <c r="X17" s="4">
        <v>86</v>
      </c>
      <c r="Y17" s="4">
        <v>148</v>
      </c>
      <c r="Z17" s="4">
        <v>99</v>
      </c>
      <c r="AA17" s="4">
        <v>96</v>
      </c>
      <c r="AB17" s="4">
        <v>3</v>
      </c>
      <c r="AC17" s="4">
        <v>5</v>
      </c>
      <c r="AD17" s="4">
        <v>6</v>
      </c>
      <c r="AE17" s="4">
        <v>692</v>
      </c>
      <c r="AF17" s="7">
        <f t="shared" si="2"/>
        <v>627.09299375371802</v>
      </c>
      <c r="AG17" s="7">
        <f t="shared" si="0"/>
        <v>110.3504594841277</v>
      </c>
      <c r="AI17" s="7">
        <f t="shared" si="3"/>
        <v>694.55899999999997</v>
      </c>
      <c r="AK17" s="4">
        <f t="shared" si="1"/>
        <v>90.28649743991771</v>
      </c>
    </row>
    <row r="18" spans="1:37" x14ac:dyDescent="0.2">
      <c r="A18" s="4" t="s">
        <v>32</v>
      </c>
      <c r="B18" s="4">
        <v>1</v>
      </c>
      <c r="C18" s="4">
        <v>186</v>
      </c>
      <c r="D18" s="4">
        <v>33</v>
      </c>
      <c r="E18" s="7">
        <v>24.858365128916635</v>
      </c>
      <c r="F18" s="4">
        <v>106</v>
      </c>
      <c r="G18" s="4">
        <v>110</v>
      </c>
      <c r="H18" s="4">
        <v>95</v>
      </c>
      <c r="I18" s="4">
        <v>94</v>
      </c>
      <c r="J18" s="4">
        <v>0</v>
      </c>
      <c r="K18" s="4">
        <v>3</v>
      </c>
      <c r="L18" s="4">
        <v>3</v>
      </c>
      <c r="M18" s="4">
        <v>650</v>
      </c>
      <c r="O18" s="4">
        <v>101</v>
      </c>
      <c r="P18" s="4">
        <v>127</v>
      </c>
      <c r="Q18" s="4">
        <v>98</v>
      </c>
      <c r="R18" s="4">
        <v>95</v>
      </c>
      <c r="S18" s="4">
        <v>0</v>
      </c>
      <c r="T18" s="4">
        <v>2</v>
      </c>
      <c r="U18" s="4">
        <v>3</v>
      </c>
      <c r="V18" s="4">
        <v>701</v>
      </c>
      <c r="X18" s="4">
        <v>87</v>
      </c>
      <c r="Y18" s="4">
        <v>87</v>
      </c>
      <c r="Z18" s="4">
        <v>95</v>
      </c>
      <c r="AA18" s="4">
        <v>98</v>
      </c>
      <c r="AB18" s="4">
        <v>0</v>
      </c>
      <c r="AC18" s="4">
        <v>3</v>
      </c>
      <c r="AD18" s="4">
        <v>4</v>
      </c>
      <c r="AE18" s="4">
        <v>704</v>
      </c>
      <c r="AF18" s="7">
        <f t="shared" si="2"/>
        <v>654.21026182217611</v>
      </c>
      <c r="AG18" s="7">
        <f t="shared" si="0"/>
        <v>107.61066297540857</v>
      </c>
      <c r="AI18" s="7">
        <f t="shared" si="3"/>
        <v>666.00599999999997</v>
      </c>
      <c r="AK18" s="4">
        <f t="shared" si="1"/>
        <v>98.228884097467002</v>
      </c>
    </row>
    <row r="19" spans="1:37" x14ac:dyDescent="0.2">
      <c r="A19" s="4" t="s">
        <v>34</v>
      </c>
      <c r="B19" s="4">
        <v>1</v>
      </c>
      <c r="C19" s="4">
        <v>178</v>
      </c>
      <c r="D19" s="4">
        <v>26</v>
      </c>
      <c r="E19" s="7">
        <v>23.355636914530994</v>
      </c>
      <c r="F19" s="4">
        <v>121</v>
      </c>
      <c r="G19" s="4">
        <v>162</v>
      </c>
      <c r="H19" s="4">
        <v>99</v>
      </c>
      <c r="I19" s="4">
        <v>99</v>
      </c>
      <c r="J19" s="4">
        <v>3</v>
      </c>
      <c r="K19" s="4">
        <v>7</v>
      </c>
      <c r="L19" s="4">
        <v>8</v>
      </c>
      <c r="M19" s="4">
        <v>590</v>
      </c>
      <c r="O19" s="4">
        <v>88</v>
      </c>
      <c r="P19" s="4">
        <v>160</v>
      </c>
      <c r="Q19" s="4">
        <v>97</v>
      </c>
      <c r="R19" s="4">
        <v>99</v>
      </c>
      <c r="S19" s="4">
        <v>2</v>
      </c>
      <c r="T19" s="4">
        <v>8</v>
      </c>
      <c r="U19" s="4">
        <v>8</v>
      </c>
      <c r="V19" s="4">
        <v>708</v>
      </c>
      <c r="X19" s="4">
        <v>96</v>
      </c>
      <c r="Y19" s="4">
        <v>132</v>
      </c>
      <c r="Z19" s="4">
        <v>98</v>
      </c>
      <c r="AA19" s="4">
        <v>98</v>
      </c>
      <c r="AB19" s="4">
        <v>2</v>
      </c>
      <c r="AC19" s="4">
        <v>7</v>
      </c>
      <c r="AD19" s="4">
        <v>8</v>
      </c>
      <c r="AE19" s="4">
        <v>780</v>
      </c>
      <c r="AF19" s="7">
        <f t="shared" si="2"/>
        <v>690.05004822623414</v>
      </c>
      <c r="AG19" s="7">
        <f t="shared" si="0"/>
        <v>113.03527939820903</v>
      </c>
      <c r="AI19" s="7">
        <f t="shared" si="3"/>
        <v>720.92000000000007</v>
      </c>
      <c r="AK19" s="4">
        <f t="shared" si="1"/>
        <v>95.717978170425852</v>
      </c>
    </row>
    <row r="20" spans="1:37" x14ac:dyDescent="0.2">
      <c r="A20" s="4" t="s">
        <v>35</v>
      </c>
      <c r="B20" s="4">
        <v>1</v>
      </c>
      <c r="C20" s="4">
        <v>175</v>
      </c>
      <c r="D20" s="4">
        <v>29</v>
      </c>
      <c r="E20" s="7">
        <v>24.163265306122447</v>
      </c>
      <c r="F20" s="4">
        <v>121</v>
      </c>
      <c r="G20" s="4">
        <v>180</v>
      </c>
      <c r="H20" s="4">
        <v>99</v>
      </c>
      <c r="I20" s="4">
        <v>99</v>
      </c>
      <c r="J20" s="4">
        <v>0</v>
      </c>
      <c r="K20" s="4">
        <v>6</v>
      </c>
      <c r="L20" s="4">
        <v>7</v>
      </c>
      <c r="M20" s="4">
        <v>711</v>
      </c>
      <c r="O20" s="4">
        <v>119</v>
      </c>
      <c r="P20" s="4">
        <v>162</v>
      </c>
      <c r="Q20" s="4">
        <v>98</v>
      </c>
      <c r="R20" s="4">
        <v>97</v>
      </c>
      <c r="S20" s="4">
        <v>2</v>
      </c>
      <c r="T20" s="4">
        <v>6</v>
      </c>
      <c r="U20" s="4">
        <v>7</v>
      </c>
      <c r="V20" s="4">
        <v>827</v>
      </c>
      <c r="X20" s="4">
        <v>101</v>
      </c>
      <c r="Y20" s="4">
        <v>152</v>
      </c>
      <c r="Z20" s="4">
        <v>94</v>
      </c>
      <c r="AA20" s="4">
        <v>99</v>
      </c>
      <c r="AB20" s="4">
        <v>0</v>
      </c>
      <c r="AC20" s="4">
        <v>4</v>
      </c>
      <c r="AD20" s="4">
        <v>7</v>
      </c>
      <c r="AE20" s="4">
        <v>792</v>
      </c>
      <c r="AF20" s="7">
        <f t="shared" si="2"/>
        <v>673.47939795918364</v>
      </c>
      <c r="AG20" s="7">
        <f t="shared" si="0"/>
        <v>117.59825206234436</v>
      </c>
      <c r="AI20" s="7">
        <f t="shared" si="3"/>
        <v>731.19900000000007</v>
      </c>
      <c r="AK20" s="4">
        <f t="shared" si="1"/>
        <v>92.106170544432302</v>
      </c>
    </row>
    <row r="21" spans="1:37" x14ac:dyDescent="0.2">
      <c r="A21" s="4" t="s">
        <v>38</v>
      </c>
      <c r="B21" s="4">
        <v>1</v>
      </c>
      <c r="C21" s="4">
        <v>178</v>
      </c>
      <c r="D21" s="4">
        <v>28</v>
      </c>
      <c r="E21" s="7">
        <v>29.036737785633125</v>
      </c>
      <c r="F21" s="4">
        <v>120</v>
      </c>
      <c r="G21" s="4">
        <v>154</v>
      </c>
      <c r="H21" s="4">
        <v>98</v>
      </c>
      <c r="I21" s="4">
        <v>94</v>
      </c>
      <c r="J21" s="4">
        <v>3</v>
      </c>
      <c r="K21" s="4">
        <v>6</v>
      </c>
      <c r="L21" s="4">
        <v>7</v>
      </c>
      <c r="M21" s="4">
        <v>586</v>
      </c>
      <c r="O21" s="4">
        <v>136</v>
      </c>
      <c r="P21" s="4">
        <v>164</v>
      </c>
      <c r="Q21" s="4">
        <v>97</v>
      </c>
      <c r="R21" s="4">
        <v>90</v>
      </c>
      <c r="S21" s="4">
        <v>2</v>
      </c>
      <c r="T21" s="4">
        <v>4</v>
      </c>
      <c r="U21" s="4">
        <v>6</v>
      </c>
      <c r="V21" s="4">
        <v>676</v>
      </c>
      <c r="X21" s="4">
        <v>109</v>
      </c>
      <c r="Y21" s="4">
        <v>137</v>
      </c>
      <c r="Z21" s="4">
        <v>93</v>
      </c>
      <c r="AA21" s="4">
        <v>96</v>
      </c>
      <c r="AB21" s="4">
        <v>0</v>
      </c>
      <c r="AC21" s="4">
        <v>3</v>
      </c>
      <c r="AD21" s="4">
        <v>4</v>
      </c>
      <c r="AE21" s="4">
        <v>680</v>
      </c>
      <c r="AF21" s="7">
        <f t="shared" si="2"/>
        <v>653.88908698396665</v>
      </c>
      <c r="AG21" s="7">
        <f t="shared" si="0"/>
        <v>103.99317155398154</v>
      </c>
      <c r="AI21" s="7">
        <f t="shared" si="3"/>
        <v>710.13900000000001</v>
      </c>
      <c r="AK21" s="4">
        <f t="shared" si="1"/>
        <v>92.079027765545433</v>
      </c>
    </row>
    <row r="22" spans="1:37" x14ac:dyDescent="0.2">
      <c r="A22" s="4" t="s">
        <v>46</v>
      </c>
      <c r="B22" s="4">
        <v>1</v>
      </c>
      <c r="C22" s="4">
        <v>182</v>
      </c>
      <c r="D22" s="4">
        <v>34</v>
      </c>
      <c r="E22" s="7">
        <v>29.585798816568044</v>
      </c>
      <c r="F22" s="4">
        <v>109</v>
      </c>
      <c r="G22" s="4">
        <v>91</v>
      </c>
      <c r="H22" s="4">
        <v>98</v>
      </c>
      <c r="I22" s="4">
        <v>97</v>
      </c>
      <c r="J22" s="4">
        <v>0</v>
      </c>
      <c r="K22" s="4">
        <v>2</v>
      </c>
      <c r="L22" s="4">
        <v>4</v>
      </c>
      <c r="M22" s="4">
        <v>580</v>
      </c>
      <c r="O22" s="4">
        <v>98</v>
      </c>
      <c r="P22" s="4">
        <v>79</v>
      </c>
      <c r="Q22" s="4">
        <v>97</v>
      </c>
      <c r="R22" s="4">
        <v>97</v>
      </c>
      <c r="S22" s="4">
        <v>0</v>
      </c>
      <c r="T22" s="4">
        <v>2</v>
      </c>
      <c r="U22" s="4">
        <v>4</v>
      </c>
      <c r="V22" s="4">
        <v>620</v>
      </c>
      <c r="X22" s="4">
        <v>95</v>
      </c>
      <c r="Y22" s="4">
        <v>124</v>
      </c>
      <c r="Z22" s="4">
        <v>98</v>
      </c>
      <c r="AA22" s="4">
        <v>96</v>
      </c>
      <c r="AB22" s="4">
        <v>0</v>
      </c>
      <c r="AC22" s="4">
        <v>2</v>
      </c>
      <c r="AD22" s="4">
        <v>3</v>
      </c>
      <c r="AE22" s="4">
        <v>642</v>
      </c>
      <c r="AF22" s="7">
        <f t="shared" si="2"/>
        <v>627.38915976331373</v>
      </c>
      <c r="AG22" s="7">
        <f t="shared" si="0"/>
        <v>102.3288321146955</v>
      </c>
      <c r="AI22" s="7">
        <f t="shared" si="3"/>
        <v>699.39200000000005</v>
      </c>
      <c r="AK22" s="4">
        <f t="shared" si="1"/>
        <v>89.704937969452573</v>
      </c>
    </row>
    <row r="23" spans="1:37" x14ac:dyDescent="0.2">
      <c r="A23" s="4" t="s">
        <v>48</v>
      </c>
      <c r="B23" s="4">
        <v>1</v>
      </c>
      <c r="C23" s="4">
        <v>171</v>
      </c>
      <c r="D23" s="4">
        <v>27</v>
      </c>
      <c r="E23" s="7">
        <v>28.384802161348794</v>
      </c>
      <c r="F23" s="4">
        <v>104</v>
      </c>
      <c r="G23" s="4">
        <v>129</v>
      </c>
      <c r="H23" s="4">
        <v>99</v>
      </c>
      <c r="I23" s="4">
        <v>97</v>
      </c>
      <c r="J23" s="4">
        <v>0</v>
      </c>
      <c r="K23" s="4">
        <v>3</v>
      </c>
      <c r="L23" s="4">
        <v>5</v>
      </c>
      <c r="M23" s="4">
        <v>610</v>
      </c>
      <c r="O23" s="4">
        <v>71</v>
      </c>
      <c r="P23" s="4">
        <v>111</v>
      </c>
      <c r="Q23" s="4">
        <v>97</v>
      </c>
      <c r="R23" s="4">
        <v>99</v>
      </c>
      <c r="S23" s="4">
        <v>0</v>
      </c>
      <c r="T23" s="4">
        <v>5</v>
      </c>
      <c r="U23" s="4">
        <v>7</v>
      </c>
      <c r="V23" s="4">
        <v>690</v>
      </c>
      <c r="X23" s="4">
        <v>96</v>
      </c>
      <c r="Y23" s="4">
        <v>126</v>
      </c>
      <c r="Z23" s="4">
        <v>99</v>
      </c>
      <c r="AA23" s="4">
        <v>98</v>
      </c>
      <c r="AB23" s="4">
        <v>0</v>
      </c>
      <c r="AC23" s="4">
        <v>4</v>
      </c>
      <c r="AD23" s="4">
        <v>7</v>
      </c>
      <c r="AE23" s="4">
        <v>810</v>
      </c>
      <c r="AF23" s="7">
        <f t="shared" si="2"/>
        <v>661.27651347423136</v>
      </c>
      <c r="AG23" s="7">
        <f t="shared" si="0"/>
        <v>122.49036272956397</v>
      </c>
      <c r="AI23" s="7">
        <f t="shared" si="3"/>
        <v>698.49900000000002</v>
      </c>
      <c r="AK23" s="4">
        <f t="shared" si="1"/>
        <v>94.671075187542328</v>
      </c>
    </row>
    <row r="24" spans="1:37" x14ac:dyDescent="0.2">
      <c r="A24" s="4" t="s">
        <v>49</v>
      </c>
      <c r="B24" s="4">
        <v>1</v>
      </c>
      <c r="C24" s="4">
        <v>170</v>
      </c>
      <c r="D24" s="4">
        <v>34</v>
      </c>
      <c r="E24" s="7">
        <v>30.449826989619382</v>
      </c>
      <c r="F24" s="4">
        <v>86</v>
      </c>
      <c r="G24" s="4">
        <v>84</v>
      </c>
      <c r="H24" s="4">
        <v>98</v>
      </c>
      <c r="I24" s="4">
        <v>98</v>
      </c>
      <c r="J24" s="4">
        <v>0</v>
      </c>
      <c r="K24" s="4">
        <v>3</v>
      </c>
      <c r="L24" s="4">
        <v>2</v>
      </c>
      <c r="M24" s="4">
        <v>524</v>
      </c>
      <c r="O24" s="4">
        <v>81</v>
      </c>
      <c r="P24" s="4">
        <v>114</v>
      </c>
      <c r="Q24" s="4">
        <v>97</v>
      </c>
      <c r="R24" s="4">
        <v>98</v>
      </c>
      <c r="S24" s="4">
        <v>0</v>
      </c>
      <c r="T24" s="4">
        <v>2</v>
      </c>
      <c r="U24" s="4">
        <v>3</v>
      </c>
      <c r="V24" s="4">
        <v>577</v>
      </c>
      <c r="X24" s="4">
        <v>95</v>
      </c>
      <c r="Y24" s="4">
        <v>106</v>
      </c>
      <c r="Z24" s="4">
        <v>98</v>
      </c>
      <c r="AA24" s="4">
        <v>98</v>
      </c>
      <c r="AB24" s="4">
        <v>0</v>
      </c>
      <c r="AC24" s="4">
        <v>1</v>
      </c>
      <c r="AD24" s="4">
        <v>3</v>
      </c>
      <c r="AE24" s="4">
        <v>609</v>
      </c>
      <c r="AF24" s="7">
        <f t="shared" si="2"/>
        <v>623.18134256055373</v>
      </c>
      <c r="AG24" s="7">
        <f t="shared" si="0"/>
        <v>97.72436342489253</v>
      </c>
      <c r="AI24" s="7">
        <f t="shared" si="3"/>
        <v>654.37400000000002</v>
      </c>
      <c r="AK24" s="4">
        <f t="shared" si="1"/>
        <v>95.233206478337124</v>
      </c>
    </row>
    <row r="25" spans="1:37" x14ac:dyDescent="0.2">
      <c r="A25" s="4" t="s">
        <v>50</v>
      </c>
      <c r="B25" s="4">
        <v>1</v>
      </c>
      <c r="C25" s="4">
        <v>170</v>
      </c>
      <c r="D25" s="4">
        <v>24</v>
      </c>
      <c r="E25" s="7">
        <v>20.761245674740486</v>
      </c>
      <c r="F25" s="4">
        <v>104</v>
      </c>
      <c r="G25" s="4">
        <v>108</v>
      </c>
      <c r="H25" s="4">
        <v>97</v>
      </c>
      <c r="I25" s="4">
        <v>98</v>
      </c>
      <c r="J25" s="4">
        <v>0</v>
      </c>
      <c r="K25" s="4">
        <v>2</v>
      </c>
      <c r="L25" s="4">
        <v>4</v>
      </c>
      <c r="M25" s="4">
        <v>570</v>
      </c>
      <c r="O25" s="4">
        <v>90</v>
      </c>
      <c r="P25" s="4">
        <v>95</v>
      </c>
      <c r="Q25" s="4">
        <v>98</v>
      </c>
      <c r="R25" s="4">
        <v>98</v>
      </c>
      <c r="S25" s="4">
        <v>0</v>
      </c>
      <c r="T25" s="4">
        <v>1</v>
      </c>
      <c r="U25" s="4">
        <v>1</v>
      </c>
      <c r="V25" s="4">
        <v>646</v>
      </c>
      <c r="X25" s="4">
        <v>85</v>
      </c>
      <c r="Y25" s="4">
        <v>76</v>
      </c>
      <c r="Z25" s="4">
        <v>97</v>
      </c>
      <c r="AA25" s="4">
        <v>98</v>
      </c>
      <c r="AB25" s="4">
        <v>0</v>
      </c>
      <c r="AC25" s="4">
        <v>2</v>
      </c>
      <c r="AD25" s="4">
        <v>2</v>
      </c>
      <c r="AE25" s="4">
        <v>634</v>
      </c>
      <c r="AF25" s="7">
        <f t="shared" si="2"/>
        <v>711.45473356401385</v>
      </c>
      <c r="AG25" s="7">
        <f t="shared" si="0"/>
        <v>89.113188807388156</v>
      </c>
      <c r="AI25" s="7">
        <f t="shared" si="3"/>
        <v>646.45400000000006</v>
      </c>
      <c r="AK25" s="4">
        <f t="shared" si="1"/>
        <v>110.054966565914</v>
      </c>
    </row>
    <row r="26" spans="1:37" x14ac:dyDescent="0.2">
      <c r="A26" s="4" t="s">
        <v>61</v>
      </c>
      <c r="B26" s="4">
        <v>1</v>
      </c>
      <c r="C26" s="4">
        <v>170</v>
      </c>
      <c r="D26" s="4">
        <v>27</v>
      </c>
      <c r="E26" s="7">
        <v>23.183391003460208</v>
      </c>
      <c r="F26" s="4">
        <v>118</v>
      </c>
      <c r="G26" s="4">
        <v>161</v>
      </c>
      <c r="H26" s="4">
        <v>99</v>
      </c>
      <c r="I26" s="4">
        <v>98</v>
      </c>
      <c r="J26" s="4">
        <v>0</v>
      </c>
      <c r="K26" s="4">
        <v>6</v>
      </c>
      <c r="L26" s="4">
        <v>7</v>
      </c>
      <c r="M26" s="4">
        <v>530</v>
      </c>
      <c r="O26" s="4">
        <v>95</v>
      </c>
      <c r="P26" s="4">
        <v>149</v>
      </c>
      <c r="Q26" s="4">
        <v>98</v>
      </c>
      <c r="R26" s="4">
        <v>98</v>
      </c>
      <c r="S26" s="4">
        <v>0</v>
      </c>
      <c r="T26" s="4">
        <v>6</v>
      </c>
      <c r="U26" s="4">
        <v>7</v>
      </c>
      <c r="V26" s="4">
        <v>687</v>
      </c>
      <c r="X26" s="4">
        <v>93</v>
      </c>
      <c r="Y26" s="4">
        <v>152</v>
      </c>
      <c r="Z26" s="4">
        <v>99</v>
      </c>
      <c r="AA26" s="4">
        <v>99</v>
      </c>
      <c r="AB26" s="4">
        <v>0</v>
      </c>
      <c r="AC26" s="4">
        <v>5</v>
      </c>
      <c r="AD26" s="4">
        <v>8</v>
      </c>
      <c r="AE26" s="4">
        <v>660</v>
      </c>
      <c r="AF26" s="7">
        <f t="shared" si="2"/>
        <v>686.60738581314877</v>
      </c>
      <c r="AG26" s="7">
        <f t="shared" si="0"/>
        <v>96.124803437464095</v>
      </c>
      <c r="AI26" s="7">
        <f t="shared" si="3"/>
        <v>735.28500000000008</v>
      </c>
      <c r="AK26" s="4">
        <f t="shared" si="1"/>
        <v>93.379762379641733</v>
      </c>
    </row>
    <row r="27" spans="1:37" x14ac:dyDescent="0.2">
      <c r="A27" s="4" t="s">
        <v>54</v>
      </c>
      <c r="B27" s="4">
        <v>1</v>
      </c>
      <c r="C27" s="4">
        <v>176</v>
      </c>
      <c r="D27" s="4">
        <v>24</v>
      </c>
      <c r="E27" s="7">
        <v>25.180785123966942</v>
      </c>
      <c r="F27" s="4">
        <v>100</v>
      </c>
      <c r="G27" s="4">
        <v>140</v>
      </c>
      <c r="H27" s="4">
        <v>99</v>
      </c>
      <c r="I27" s="4">
        <v>98</v>
      </c>
      <c r="J27" s="8">
        <v>4</v>
      </c>
      <c r="K27" s="5">
        <v>6</v>
      </c>
      <c r="L27" s="5">
        <v>7</v>
      </c>
      <c r="M27" s="5">
        <v>734</v>
      </c>
      <c r="O27" s="6">
        <v>107</v>
      </c>
      <c r="P27" s="6">
        <v>154</v>
      </c>
      <c r="Q27" s="6">
        <v>97</v>
      </c>
      <c r="R27" s="6">
        <v>99</v>
      </c>
      <c r="S27" s="6">
        <v>5</v>
      </c>
      <c r="T27" s="6">
        <v>6</v>
      </c>
      <c r="U27" s="6">
        <v>7</v>
      </c>
      <c r="V27" s="6">
        <v>844</v>
      </c>
      <c r="X27" s="4">
        <v>110</v>
      </c>
      <c r="Y27" s="4">
        <v>143</v>
      </c>
      <c r="Z27" s="4">
        <v>94</v>
      </c>
      <c r="AA27" s="4">
        <v>98</v>
      </c>
      <c r="AB27" s="4">
        <v>2</v>
      </c>
      <c r="AC27" s="4">
        <v>5</v>
      </c>
      <c r="AD27" s="4">
        <v>6</v>
      </c>
      <c r="AE27" s="4">
        <v>810</v>
      </c>
      <c r="AF27" s="7">
        <f t="shared" si="2"/>
        <v>689.93157644628104</v>
      </c>
      <c r="AG27" s="7">
        <f t="shared" si="0"/>
        <v>117.40294656060979</v>
      </c>
      <c r="AI27" s="7">
        <f t="shared" si="3"/>
        <v>723.13300000000004</v>
      </c>
      <c r="AK27" s="4">
        <f t="shared" si="1"/>
        <v>95.408669836154758</v>
      </c>
    </row>
    <row r="28" spans="1:37" x14ac:dyDescent="0.2">
      <c r="A28" s="4" t="s">
        <v>65</v>
      </c>
      <c r="B28" s="4">
        <v>1</v>
      </c>
      <c r="C28" s="4">
        <v>173</v>
      </c>
      <c r="D28" s="4">
        <v>28</v>
      </c>
      <c r="E28" s="7">
        <v>24.06</v>
      </c>
      <c r="F28" s="4">
        <v>112</v>
      </c>
      <c r="G28" s="4">
        <v>155</v>
      </c>
      <c r="H28" s="4">
        <v>99</v>
      </c>
      <c r="I28" s="4">
        <v>99</v>
      </c>
      <c r="J28" s="4">
        <v>3</v>
      </c>
      <c r="K28" s="4">
        <v>5</v>
      </c>
      <c r="L28" s="4">
        <v>7</v>
      </c>
      <c r="M28" s="4">
        <v>673</v>
      </c>
      <c r="O28" s="4">
        <v>115</v>
      </c>
      <c r="P28" s="4">
        <v>146</v>
      </c>
      <c r="Q28" s="4">
        <v>98</v>
      </c>
      <c r="R28" s="4">
        <v>98</v>
      </c>
      <c r="S28" s="4">
        <v>4</v>
      </c>
      <c r="T28" s="4">
        <v>5</v>
      </c>
      <c r="U28" s="4">
        <v>6</v>
      </c>
      <c r="V28" s="4">
        <v>720</v>
      </c>
      <c r="X28" s="4">
        <v>73</v>
      </c>
      <c r="Y28" s="4">
        <v>124</v>
      </c>
      <c r="Z28" s="4">
        <v>93</v>
      </c>
      <c r="AA28" s="4">
        <v>99</v>
      </c>
      <c r="AB28" s="4">
        <v>2</v>
      </c>
      <c r="AC28" s="4">
        <v>3</v>
      </c>
      <c r="AD28" s="4">
        <v>5</v>
      </c>
      <c r="AE28" s="4">
        <v>677</v>
      </c>
      <c r="AF28" s="7">
        <f t="shared" si="2"/>
        <v>678.12580000000003</v>
      </c>
      <c r="AG28" s="7">
        <f t="shared" si="0"/>
        <v>99.833983605991676</v>
      </c>
      <c r="AI28" s="7">
        <f t="shared" si="3"/>
        <v>719.87400000000002</v>
      </c>
      <c r="AK28" s="4">
        <f t="shared" si="1"/>
        <v>94.200623998088545</v>
      </c>
    </row>
    <row r="29" spans="1:37" x14ac:dyDescent="0.2">
      <c r="A29" s="4" t="s">
        <v>66</v>
      </c>
      <c r="B29" s="4">
        <v>1</v>
      </c>
      <c r="C29" s="4">
        <v>186</v>
      </c>
      <c r="D29" s="4">
        <v>26</v>
      </c>
      <c r="E29" s="7">
        <v>23.41</v>
      </c>
      <c r="F29" s="4">
        <v>78</v>
      </c>
      <c r="G29" s="4">
        <v>130</v>
      </c>
      <c r="H29" s="4">
        <v>99</v>
      </c>
      <c r="I29" s="4">
        <v>97</v>
      </c>
      <c r="J29" s="4">
        <v>2</v>
      </c>
      <c r="K29" s="4">
        <v>2</v>
      </c>
      <c r="L29" s="4">
        <v>2</v>
      </c>
      <c r="M29" s="4">
        <v>550</v>
      </c>
      <c r="O29" s="4">
        <v>91</v>
      </c>
      <c r="P29" s="4">
        <v>129</v>
      </c>
      <c r="Q29" s="4">
        <v>98</v>
      </c>
      <c r="R29" s="4">
        <v>97</v>
      </c>
      <c r="S29" s="4">
        <v>0</v>
      </c>
      <c r="T29" s="4">
        <v>5</v>
      </c>
      <c r="U29" s="4">
        <v>5</v>
      </c>
      <c r="V29" s="4">
        <v>760</v>
      </c>
      <c r="X29" s="4">
        <v>112</v>
      </c>
      <c r="Y29" s="4">
        <v>133</v>
      </c>
      <c r="Z29" s="4">
        <v>98</v>
      </c>
      <c r="AA29" s="4">
        <v>97</v>
      </c>
      <c r="AB29" s="4">
        <v>0</v>
      </c>
      <c r="AC29" s="4">
        <v>6</v>
      </c>
      <c r="AD29" s="4">
        <v>5</v>
      </c>
      <c r="AE29" s="4">
        <v>730</v>
      </c>
      <c r="AF29" s="7">
        <f t="shared" si="2"/>
        <v>689.78530000000001</v>
      </c>
      <c r="AG29" s="7">
        <f t="shared" si="0"/>
        <v>105.83003146051387</v>
      </c>
      <c r="AI29" s="7">
        <f t="shared" si="3"/>
        <v>719.91700000000003</v>
      </c>
      <c r="AK29" s="4">
        <f t="shared" si="1"/>
        <v>95.814559178349725</v>
      </c>
    </row>
    <row r="30" spans="1:37" x14ac:dyDescent="0.2">
      <c r="A30" s="4" t="s">
        <v>68</v>
      </c>
      <c r="B30" s="4">
        <v>1</v>
      </c>
      <c r="C30" s="4">
        <v>175</v>
      </c>
      <c r="D30" s="4">
        <v>28</v>
      </c>
      <c r="E30" s="7">
        <v>24.16</v>
      </c>
      <c r="F30" s="4">
        <v>124</v>
      </c>
      <c r="G30" s="4">
        <v>175</v>
      </c>
      <c r="H30" s="4">
        <v>98</v>
      </c>
      <c r="I30" s="4">
        <v>97</v>
      </c>
      <c r="J30" s="4">
        <v>2</v>
      </c>
      <c r="K30" s="4">
        <v>6</v>
      </c>
      <c r="L30" s="4">
        <v>9</v>
      </c>
      <c r="M30" s="4">
        <v>634</v>
      </c>
      <c r="O30" s="4">
        <v>126</v>
      </c>
      <c r="P30" s="4">
        <v>178</v>
      </c>
      <c r="Q30" s="4">
        <v>96</v>
      </c>
      <c r="R30" s="4">
        <v>98</v>
      </c>
      <c r="S30" s="4">
        <v>2</v>
      </c>
      <c r="T30" s="4">
        <v>7</v>
      </c>
      <c r="U30" s="4">
        <v>9</v>
      </c>
      <c r="V30" s="4">
        <v>844</v>
      </c>
      <c r="X30" s="4">
        <v>115</v>
      </c>
      <c r="Y30" s="4">
        <v>140</v>
      </c>
      <c r="Z30" s="4">
        <v>96</v>
      </c>
      <c r="AA30" s="4">
        <v>96</v>
      </c>
      <c r="AB30" s="4">
        <v>1</v>
      </c>
      <c r="AC30" s="4">
        <v>5</v>
      </c>
      <c r="AD30" s="4">
        <v>8</v>
      </c>
      <c r="AE30" s="4">
        <v>850</v>
      </c>
      <c r="AF30" s="7">
        <f t="shared" si="2"/>
        <v>677.63879999999995</v>
      </c>
      <c r="AG30" s="7">
        <f t="shared" si="0"/>
        <v>125.43555652362292</v>
      </c>
      <c r="AI30" s="7">
        <f t="shared" si="3"/>
        <v>703.12200000000007</v>
      </c>
      <c r="AK30" s="4">
        <f t="shared" si="1"/>
        <v>96.375707203017384</v>
      </c>
    </row>
    <row r="31" spans="1:37" x14ac:dyDescent="0.2">
      <c r="A31" s="4" t="s">
        <v>72</v>
      </c>
      <c r="B31" s="4">
        <v>0</v>
      </c>
      <c r="C31" s="4">
        <v>165</v>
      </c>
      <c r="D31" s="4">
        <v>26</v>
      </c>
      <c r="E31" s="7">
        <v>20.5</v>
      </c>
      <c r="F31" s="4">
        <v>115</v>
      </c>
      <c r="G31" s="4">
        <v>154</v>
      </c>
      <c r="H31" s="4">
        <v>97</v>
      </c>
      <c r="I31" s="4">
        <v>95</v>
      </c>
      <c r="J31" s="4">
        <v>5</v>
      </c>
      <c r="K31" s="4">
        <v>6</v>
      </c>
      <c r="L31" s="4">
        <v>7</v>
      </c>
      <c r="M31" s="4">
        <v>700</v>
      </c>
      <c r="O31" s="4">
        <v>102</v>
      </c>
      <c r="P31" s="4">
        <v>160</v>
      </c>
      <c r="Q31" s="4">
        <v>99</v>
      </c>
      <c r="R31" s="4">
        <v>98</v>
      </c>
      <c r="S31" s="4">
        <v>4</v>
      </c>
      <c r="T31" s="4">
        <v>5</v>
      </c>
      <c r="U31" s="4">
        <v>5</v>
      </c>
      <c r="V31" s="4">
        <v>689</v>
      </c>
      <c r="X31" s="4">
        <v>120</v>
      </c>
      <c r="Y31" s="4">
        <v>150</v>
      </c>
      <c r="Z31" s="4">
        <v>96</v>
      </c>
      <c r="AA31" s="4">
        <v>98</v>
      </c>
      <c r="AB31" s="4">
        <v>4</v>
      </c>
      <c r="AC31" s="4">
        <v>5</v>
      </c>
      <c r="AD31" s="4">
        <v>7</v>
      </c>
      <c r="AE31" s="4">
        <v>757</v>
      </c>
      <c r="AF31" s="7">
        <f t="shared" si="2"/>
        <v>655.08699999999999</v>
      </c>
      <c r="AG31" s="7">
        <f t="shared" si="0"/>
        <v>115.55717026898718</v>
      </c>
      <c r="AI31" s="7">
        <f t="shared" si="3"/>
        <v>662.69</v>
      </c>
      <c r="AK31" s="4">
        <f t="shared" si="1"/>
        <v>98.852706393638044</v>
      </c>
    </row>
    <row r="32" spans="1:37" x14ac:dyDescent="0.2">
      <c r="A32" s="4" t="s">
        <v>73</v>
      </c>
      <c r="B32" s="4">
        <v>1</v>
      </c>
      <c r="C32" s="4">
        <v>175</v>
      </c>
      <c r="D32" s="4">
        <v>24</v>
      </c>
      <c r="E32" s="7">
        <v>23.84</v>
      </c>
      <c r="F32" s="4">
        <v>92</v>
      </c>
      <c r="G32" s="4">
        <v>145</v>
      </c>
      <c r="H32" s="4">
        <v>98</v>
      </c>
      <c r="I32" s="4">
        <v>98</v>
      </c>
      <c r="J32" s="4">
        <v>3</v>
      </c>
      <c r="K32" s="4">
        <v>5</v>
      </c>
      <c r="L32" s="4">
        <v>7</v>
      </c>
      <c r="M32" s="4">
        <v>602</v>
      </c>
      <c r="O32" s="4">
        <v>86</v>
      </c>
      <c r="P32" s="4">
        <v>135</v>
      </c>
      <c r="Q32" s="4">
        <v>99</v>
      </c>
      <c r="R32" s="4">
        <v>98</v>
      </c>
      <c r="S32" s="4">
        <v>3</v>
      </c>
      <c r="T32" s="4">
        <v>5</v>
      </c>
      <c r="U32" s="4">
        <v>7</v>
      </c>
      <c r="V32" s="4">
        <v>726</v>
      </c>
      <c r="X32" s="4">
        <v>70</v>
      </c>
      <c r="Y32" s="4">
        <v>150</v>
      </c>
      <c r="Z32" s="4">
        <v>99</v>
      </c>
      <c r="AA32" s="4">
        <v>99</v>
      </c>
      <c r="AB32" s="4">
        <v>3</v>
      </c>
      <c r="AC32" s="4">
        <v>5</v>
      </c>
      <c r="AD32" s="4">
        <v>7</v>
      </c>
      <c r="AE32" s="4">
        <v>810</v>
      </c>
      <c r="AF32" s="7">
        <f t="shared" si="2"/>
        <v>696.46119999999996</v>
      </c>
      <c r="AG32" s="7">
        <f t="shared" si="0"/>
        <v>116.30224339848365</v>
      </c>
      <c r="AI32" s="7">
        <f t="shared" si="3"/>
        <v>770.98400000000004</v>
      </c>
      <c r="AK32" s="4">
        <f t="shared" si="1"/>
        <v>90.33406659541572</v>
      </c>
    </row>
    <row r="33" spans="1:37" x14ac:dyDescent="0.2">
      <c r="A33" s="4" t="s">
        <v>74</v>
      </c>
      <c r="B33" s="4">
        <v>1</v>
      </c>
      <c r="C33" s="4">
        <v>168</v>
      </c>
      <c r="D33" s="4">
        <v>24</v>
      </c>
      <c r="E33" s="7">
        <v>32.24</v>
      </c>
      <c r="F33" s="4">
        <v>97</v>
      </c>
      <c r="G33" s="4">
        <v>156</v>
      </c>
      <c r="H33" s="4">
        <v>97</v>
      </c>
      <c r="I33" s="4">
        <v>97</v>
      </c>
      <c r="J33" s="4">
        <v>1</v>
      </c>
      <c r="K33" s="4">
        <v>4</v>
      </c>
      <c r="L33" s="4">
        <v>4</v>
      </c>
      <c r="M33" s="4">
        <v>530</v>
      </c>
      <c r="O33" s="4">
        <v>97</v>
      </c>
      <c r="P33" s="4">
        <v>145</v>
      </c>
      <c r="Q33" s="4">
        <v>98</v>
      </c>
      <c r="R33" s="4">
        <v>98</v>
      </c>
      <c r="S33" s="4">
        <v>1</v>
      </c>
      <c r="T33" s="4">
        <v>2</v>
      </c>
      <c r="U33" s="4">
        <v>3</v>
      </c>
      <c r="V33" s="4">
        <v>595</v>
      </c>
      <c r="X33" s="4">
        <v>95</v>
      </c>
      <c r="Y33" s="4">
        <v>137</v>
      </c>
      <c r="Z33" s="4">
        <v>97</v>
      </c>
      <c r="AA33" s="4">
        <v>97</v>
      </c>
      <c r="AB33" s="4">
        <v>2</v>
      </c>
      <c r="AC33" s="4">
        <v>3</v>
      </c>
      <c r="AD33" s="4">
        <v>3</v>
      </c>
      <c r="AE33" s="4">
        <v>643</v>
      </c>
      <c r="AF33" s="7">
        <f t="shared" si="2"/>
        <v>655.55320000000006</v>
      </c>
      <c r="AG33" s="7">
        <f t="shared" si="0"/>
        <v>98.085098204081675</v>
      </c>
      <c r="AI33" s="7">
        <f t="shared" si="3"/>
        <v>716.31100000000004</v>
      </c>
      <c r="AK33" s="4">
        <f t="shared" si="1"/>
        <v>91.517957981938011</v>
      </c>
    </row>
    <row r="34" spans="1:37" x14ac:dyDescent="0.2">
      <c r="A34" s="4" t="s">
        <v>76</v>
      </c>
      <c r="B34" s="4">
        <v>1</v>
      </c>
      <c r="C34" s="4">
        <v>182</v>
      </c>
      <c r="D34" s="4">
        <v>25</v>
      </c>
      <c r="E34" s="7">
        <v>27.77</v>
      </c>
      <c r="F34" s="4">
        <v>77</v>
      </c>
      <c r="G34" s="4">
        <v>133</v>
      </c>
      <c r="H34" s="4">
        <v>95</v>
      </c>
      <c r="I34" s="4">
        <v>98</v>
      </c>
      <c r="J34" s="4">
        <v>4</v>
      </c>
      <c r="K34" s="4">
        <v>4</v>
      </c>
      <c r="L34" s="4">
        <v>6</v>
      </c>
      <c r="M34" s="4">
        <v>639</v>
      </c>
      <c r="O34" s="4">
        <v>81</v>
      </c>
      <c r="P34" s="4">
        <v>125</v>
      </c>
      <c r="Q34" s="4">
        <v>96</v>
      </c>
      <c r="R34" s="4">
        <v>98</v>
      </c>
      <c r="S34" s="4">
        <v>4</v>
      </c>
      <c r="T34" s="4">
        <v>6</v>
      </c>
      <c r="U34" s="4">
        <v>6</v>
      </c>
      <c r="V34" s="4">
        <v>720</v>
      </c>
      <c r="X34" s="4">
        <v>99</v>
      </c>
      <c r="Y34" s="4">
        <v>121</v>
      </c>
      <c r="Z34" s="4">
        <v>99</v>
      </c>
      <c r="AA34" s="4">
        <v>98</v>
      </c>
      <c r="AB34" s="4">
        <v>4</v>
      </c>
      <c r="AC34" s="4">
        <v>5</v>
      </c>
      <c r="AD34" s="4">
        <v>6</v>
      </c>
      <c r="AE34" s="4">
        <v>678</v>
      </c>
      <c r="AF34" s="7">
        <f t="shared" si="2"/>
        <v>672.90260000000001</v>
      </c>
      <c r="AG34" s="7">
        <f t="shared" si="0"/>
        <v>100.75752419443764</v>
      </c>
      <c r="AI34" s="7">
        <f t="shared" si="3"/>
        <v>712.024</v>
      </c>
      <c r="AK34" s="4">
        <f t="shared" si="1"/>
        <v>94.505606552588119</v>
      </c>
    </row>
    <row r="35" spans="1:37" x14ac:dyDescent="0.2">
      <c r="A35" s="4" t="s">
        <v>77</v>
      </c>
      <c r="B35" s="4">
        <v>0</v>
      </c>
      <c r="C35" s="4">
        <v>152</v>
      </c>
      <c r="D35" s="4">
        <v>24</v>
      </c>
      <c r="E35" s="7">
        <v>23.37</v>
      </c>
      <c r="F35" s="4">
        <v>98</v>
      </c>
      <c r="G35" s="4">
        <v>169</v>
      </c>
      <c r="H35" s="4">
        <v>98</v>
      </c>
      <c r="I35" s="4">
        <v>98</v>
      </c>
      <c r="J35" s="4">
        <v>0</v>
      </c>
      <c r="K35" s="4">
        <v>2</v>
      </c>
      <c r="L35" s="4">
        <v>6</v>
      </c>
      <c r="M35" s="4">
        <v>566</v>
      </c>
      <c r="O35" s="4">
        <v>113</v>
      </c>
      <c r="P35" s="4">
        <v>161</v>
      </c>
      <c r="Q35" s="4">
        <v>99</v>
      </c>
      <c r="R35" s="4">
        <v>99</v>
      </c>
      <c r="S35" s="4">
        <v>2</v>
      </c>
      <c r="T35" s="4">
        <v>5</v>
      </c>
      <c r="U35" s="4">
        <v>7</v>
      </c>
      <c r="V35" s="4">
        <v>652</v>
      </c>
      <c r="X35" s="4">
        <v>114</v>
      </c>
      <c r="Y35" s="4">
        <v>170</v>
      </c>
      <c r="Z35" s="4">
        <v>99</v>
      </c>
      <c r="AA35" s="4">
        <v>99</v>
      </c>
      <c r="AB35" s="4">
        <v>2</v>
      </c>
      <c r="AC35" s="4">
        <v>5</v>
      </c>
      <c r="AD35" s="4">
        <v>7</v>
      </c>
      <c r="AE35" s="4">
        <v>720</v>
      </c>
      <c r="AF35" s="7">
        <f t="shared" si="2"/>
        <v>649.88009999999997</v>
      </c>
      <c r="AG35" s="7">
        <f t="shared" si="0"/>
        <v>110.78966720168843</v>
      </c>
      <c r="AI35" s="7">
        <f t="shared" si="3"/>
        <v>678.44399999999996</v>
      </c>
      <c r="AK35" s="4">
        <f t="shared" si="1"/>
        <v>95.789792525248956</v>
      </c>
    </row>
    <row r="36" spans="1:37" x14ac:dyDescent="0.2">
      <c r="A36" s="4" t="s">
        <v>79</v>
      </c>
      <c r="B36" s="4">
        <v>0</v>
      </c>
      <c r="C36" s="4">
        <v>160</v>
      </c>
      <c r="D36" s="4">
        <v>23</v>
      </c>
      <c r="E36" s="7">
        <v>21.09</v>
      </c>
      <c r="F36" s="4">
        <v>113</v>
      </c>
      <c r="G36" s="4">
        <v>113</v>
      </c>
      <c r="H36" s="4">
        <v>96</v>
      </c>
      <c r="I36" s="4">
        <v>99</v>
      </c>
      <c r="J36" s="4">
        <v>2</v>
      </c>
      <c r="K36" s="4">
        <v>3</v>
      </c>
      <c r="L36" s="4">
        <v>4</v>
      </c>
      <c r="M36" s="4">
        <v>569</v>
      </c>
      <c r="O36" s="4">
        <v>108</v>
      </c>
      <c r="P36" s="4">
        <v>165</v>
      </c>
      <c r="Q36" s="4">
        <v>97</v>
      </c>
      <c r="R36" s="4">
        <v>98</v>
      </c>
      <c r="S36" s="4">
        <v>2</v>
      </c>
      <c r="T36" s="4">
        <v>3</v>
      </c>
      <c r="U36" s="4">
        <v>4</v>
      </c>
      <c r="V36" s="4">
        <v>610</v>
      </c>
      <c r="X36" s="4">
        <v>70</v>
      </c>
      <c r="Y36" s="4">
        <v>145</v>
      </c>
      <c r="Z36" s="4">
        <v>99</v>
      </c>
      <c r="AA36" s="4">
        <v>99</v>
      </c>
      <c r="AB36" s="4">
        <v>1</v>
      </c>
      <c r="AC36" s="4">
        <v>3</v>
      </c>
      <c r="AD36" s="4">
        <v>4</v>
      </c>
      <c r="AE36" s="4">
        <v>672</v>
      </c>
      <c r="AF36" s="7">
        <f t="shared" si="2"/>
        <v>665.47220000000004</v>
      </c>
      <c r="AG36" s="7">
        <f t="shared" si="0"/>
        <v>100.98092752785163</v>
      </c>
      <c r="AI36" s="7">
        <f t="shared" si="3"/>
        <v>704.25399999999991</v>
      </c>
      <c r="AK36" s="4">
        <f t="shared" si="1"/>
        <v>94.493208416281647</v>
      </c>
    </row>
    <row r="37" spans="1:37" x14ac:dyDescent="0.2">
      <c r="A37" s="4" t="s">
        <v>80</v>
      </c>
      <c r="B37" s="4">
        <v>0</v>
      </c>
      <c r="C37" s="4">
        <v>159</v>
      </c>
      <c r="D37" s="4">
        <v>26</v>
      </c>
      <c r="E37" s="7">
        <v>22.94</v>
      </c>
      <c r="F37" s="4">
        <v>119</v>
      </c>
      <c r="G37" s="4">
        <v>161</v>
      </c>
      <c r="H37" s="4">
        <v>98</v>
      </c>
      <c r="I37" s="4">
        <v>95</v>
      </c>
      <c r="J37" s="4">
        <v>2</v>
      </c>
      <c r="K37" s="4">
        <v>3</v>
      </c>
      <c r="L37" s="4">
        <v>5</v>
      </c>
      <c r="M37" s="4">
        <v>570</v>
      </c>
      <c r="O37" s="4">
        <v>88</v>
      </c>
      <c r="P37" s="4">
        <v>127</v>
      </c>
      <c r="Q37" s="4">
        <v>99</v>
      </c>
      <c r="R37" s="4">
        <v>97</v>
      </c>
      <c r="S37" s="4">
        <v>2</v>
      </c>
      <c r="T37" s="4">
        <v>4</v>
      </c>
      <c r="U37" s="4">
        <v>5</v>
      </c>
      <c r="V37" s="4">
        <v>640</v>
      </c>
      <c r="X37" s="4">
        <v>93</v>
      </c>
      <c r="Y37" s="4">
        <v>157</v>
      </c>
      <c r="Z37" s="4">
        <v>99</v>
      </c>
      <c r="AA37" s="4">
        <v>99</v>
      </c>
      <c r="AB37" s="4">
        <v>2</v>
      </c>
      <c r="AC37" s="4">
        <v>3</v>
      </c>
      <c r="AD37" s="4">
        <v>4</v>
      </c>
      <c r="AE37" s="4">
        <v>750</v>
      </c>
      <c r="AF37" s="7">
        <f t="shared" si="2"/>
        <v>643.20420000000001</v>
      </c>
      <c r="AG37" s="7">
        <f t="shared" si="0"/>
        <v>116.60371620707701</v>
      </c>
      <c r="AI37" s="7">
        <f t="shared" si="3"/>
        <v>689.02099999999996</v>
      </c>
      <c r="AK37" s="4">
        <f t="shared" si="1"/>
        <v>93.350449405751064</v>
      </c>
    </row>
    <row r="38" spans="1:37" x14ac:dyDescent="0.2">
      <c r="A38" s="4" t="s">
        <v>83</v>
      </c>
      <c r="B38" s="4">
        <v>0</v>
      </c>
      <c r="C38" s="4">
        <v>165</v>
      </c>
      <c r="D38" s="4">
        <v>25</v>
      </c>
      <c r="E38" s="7">
        <v>22.77</v>
      </c>
      <c r="F38" s="4">
        <v>69</v>
      </c>
      <c r="G38" s="4">
        <v>63</v>
      </c>
      <c r="H38" s="4">
        <v>99</v>
      </c>
      <c r="I38" s="4">
        <v>92</v>
      </c>
      <c r="J38" s="4">
        <v>0</v>
      </c>
      <c r="K38" s="4">
        <v>1</v>
      </c>
      <c r="L38" s="4">
        <v>5</v>
      </c>
      <c r="M38" s="4">
        <v>540</v>
      </c>
      <c r="O38" s="4">
        <v>117</v>
      </c>
      <c r="P38" s="4">
        <v>148</v>
      </c>
      <c r="Q38" s="4">
        <v>98</v>
      </c>
      <c r="R38" s="4">
        <v>97</v>
      </c>
      <c r="S38" s="4">
        <v>0</v>
      </c>
      <c r="T38" s="4">
        <v>3</v>
      </c>
      <c r="U38" s="4">
        <v>6</v>
      </c>
      <c r="V38" s="4">
        <v>740</v>
      </c>
      <c r="X38" s="4">
        <v>73</v>
      </c>
      <c r="Y38" s="4">
        <v>142</v>
      </c>
      <c r="Z38" s="4">
        <v>97</v>
      </c>
      <c r="AA38" s="4">
        <v>97</v>
      </c>
      <c r="AB38" s="4">
        <v>0</v>
      </c>
      <c r="AC38" s="4">
        <v>3</v>
      </c>
      <c r="AD38" s="4">
        <v>6</v>
      </c>
      <c r="AE38" s="4">
        <v>641</v>
      </c>
      <c r="AF38" s="7">
        <f t="shared" si="2"/>
        <v>648.38260000000002</v>
      </c>
      <c r="AG38" s="7">
        <f t="shared" si="0"/>
        <v>98.861382153068263</v>
      </c>
      <c r="AI38" s="7">
        <f t="shared" si="3"/>
        <v>701.07299999999998</v>
      </c>
      <c r="AK38" s="4">
        <f t="shared" si="1"/>
        <v>92.484320463061636</v>
      </c>
    </row>
    <row r="39" spans="1:37" x14ac:dyDescent="0.2">
      <c r="A39" s="4" t="s">
        <v>85</v>
      </c>
      <c r="B39" s="4">
        <v>0</v>
      </c>
      <c r="C39" s="4">
        <v>159</v>
      </c>
      <c r="D39" s="4">
        <v>29</v>
      </c>
      <c r="E39" s="7">
        <v>20.96</v>
      </c>
      <c r="F39" s="4">
        <v>110</v>
      </c>
      <c r="G39" s="4">
        <v>148</v>
      </c>
      <c r="H39" s="4">
        <v>99</v>
      </c>
      <c r="I39" s="4">
        <v>97</v>
      </c>
      <c r="J39" s="4">
        <v>1</v>
      </c>
      <c r="K39" s="4">
        <v>4</v>
      </c>
      <c r="L39" s="4">
        <v>6</v>
      </c>
      <c r="M39" s="4">
        <v>620</v>
      </c>
      <c r="O39" s="4">
        <v>78</v>
      </c>
      <c r="P39" s="4">
        <v>135</v>
      </c>
      <c r="Q39" s="4">
        <v>98</v>
      </c>
      <c r="R39" s="4">
        <v>97</v>
      </c>
      <c r="S39" s="4">
        <v>1</v>
      </c>
      <c r="T39" s="4">
        <v>4</v>
      </c>
      <c r="U39" s="4">
        <v>5</v>
      </c>
      <c r="V39" s="4">
        <v>653</v>
      </c>
      <c r="X39" s="4">
        <v>82</v>
      </c>
      <c r="Y39" s="4">
        <v>143</v>
      </c>
      <c r="Z39" s="4">
        <v>96</v>
      </c>
      <c r="AA39" s="4">
        <v>98</v>
      </c>
      <c r="AB39" s="4">
        <v>0</v>
      </c>
      <c r="AC39" s="4">
        <v>3</v>
      </c>
      <c r="AD39" s="4">
        <v>5</v>
      </c>
      <c r="AE39" s="4">
        <v>617</v>
      </c>
      <c r="AF39" s="7">
        <f t="shared" si="2"/>
        <v>640.20929999999998</v>
      </c>
      <c r="AG39" s="7">
        <f t="shared" si="0"/>
        <v>96.374732450778211</v>
      </c>
      <c r="AI39" s="7">
        <f t="shared" si="3"/>
        <v>674.00199999999995</v>
      </c>
      <c r="AK39" s="4">
        <f t="shared" si="1"/>
        <v>94.986261168364493</v>
      </c>
    </row>
    <row r="40" spans="1:37" x14ac:dyDescent="0.2">
      <c r="A40" s="4" t="s">
        <v>86</v>
      </c>
      <c r="B40" s="4">
        <v>1</v>
      </c>
      <c r="C40" s="4">
        <v>171</v>
      </c>
      <c r="D40" s="4">
        <v>22</v>
      </c>
      <c r="E40" s="7">
        <v>21.89</v>
      </c>
      <c r="F40" s="4">
        <v>66</v>
      </c>
      <c r="G40" s="4">
        <v>133</v>
      </c>
      <c r="H40" s="4">
        <v>97</v>
      </c>
      <c r="I40" s="4">
        <v>98</v>
      </c>
      <c r="J40" s="4">
        <v>1</v>
      </c>
      <c r="K40" s="4">
        <v>4</v>
      </c>
      <c r="L40" s="4">
        <v>4</v>
      </c>
      <c r="M40" s="4">
        <v>699</v>
      </c>
      <c r="O40" s="4">
        <v>95</v>
      </c>
      <c r="P40" s="4">
        <v>103</v>
      </c>
      <c r="Q40" s="4">
        <v>95</v>
      </c>
      <c r="R40" s="4">
        <v>96</v>
      </c>
      <c r="S40" s="4">
        <v>0</v>
      </c>
      <c r="T40" s="4">
        <v>3</v>
      </c>
      <c r="U40" s="4">
        <v>3</v>
      </c>
      <c r="V40" s="4">
        <v>692</v>
      </c>
      <c r="X40" s="4">
        <v>78</v>
      </c>
      <c r="Y40" s="4">
        <v>141</v>
      </c>
      <c r="Z40" s="4">
        <v>96</v>
      </c>
      <c r="AA40" s="4">
        <v>97</v>
      </c>
      <c r="AB40" s="4">
        <v>0</v>
      </c>
      <c r="AC40" s="4">
        <v>4</v>
      </c>
      <c r="AD40" s="4">
        <v>7</v>
      </c>
      <c r="AE40" s="4">
        <v>940</v>
      </c>
      <c r="AF40" s="7">
        <f t="shared" si="2"/>
        <v>715.00369999999998</v>
      </c>
      <c r="AG40" s="7">
        <f t="shared" si="0"/>
        <v>131.46785114538568</v>
      </c>
      <c r="AI40" s="7">
        <f t="shared" si="3"/>
        <v>748.48900000000015</v>
      </c>
      <c r="AK40" s="4">
        <f t="shared" si="1"/>
        <v>95.526280279336078</v>
      </c>
    </row>
    <row r="41" spans="1:37" x14ac:dyDescent="0.2">
      <c r="A41" s="4" t="s">
        <v>87</v>
      </c>
      <c r="B41" s="4">
        <v>1</v>
      </c>
      <c r="C41" s="4">
        <v>174</v>
      </c>
      <c r="D41" s="4">
        <v>27</v>
      </c>
      <c r="E41" s="7">
        <v>27.08</v>
      </c>
      <c r="F41" s="4">
        <v>102</v>
      </c>
      <c r="G41" s="4">
        <v>131</v>
      </c>
      <c r="H41" s="4">
        <v>98</v>
      </c>
      <c r="I41" s="4">
        <v>92</v>
      </c>
      <c r="J41" s="4">
        <v>0</v>
      </c>
      <c r="K41" s="4">
        <v>5</v>
      </c>
      <c r="L41" s="4">
        <v>7</v>
      </c>
      <c r="M41" s="4">
        <v>598</v>
      </c>
      <c r="O41" s="4">
        <v>97</v>
      </c>
      <c r="P41" s="4">
        <v>150</v>
      </c>
      <c r="Q41" s="4">
        <v>96</v>
      </c>
      <c r="R41" s="4">
        <v>96</v>
      </c>
      <c r="S41" s="4">
        <v>0</v>
      </c>
      <c r="T41" s="4">
        <v>5</v>
      </c>
      <c r="U41" s="4">
        <v>8</v>
      </c>
      <c r="V41" s="4">
        <v>860</v>
      </c>
      <c r="X41" s="4">
        <v>109</v>
      </c>
      <c r="Y41" s="4">
        <v>138</v>
      </c>
      <c r="Z41" s="4">
        <v>99</v>
      </c>
      <c r="AA41" s="4">
        <v>99</v>
      </c>
      <c r="AB41" s="4">
        <v>0</v>
      </c>
      <c r="AC41" s="4">
        <v>3</v>
      </c>
      <c r="AD41" s="4">
        <v>6</v>
      </c>
      <c r="AE41" s="4">
        <v>699</v>
      </c>
      <c r="AF41" s="7">
        <f t="shared" si="2"/>
        <v>667.6309</v>
      </c>
      <c r="AG41" s="7">
        <f t="shared" si="0"/>
        <v>104.69856922440228</v>
      </c>
      <c r="AI41" s="7">
        <f t="shared" si="3"/>
        <v>706.9910000000001</v>
      </c>
      <c r="AK41" s="4">
        <f t="shared" si="1"/>
        <v>94.432729695286071</v>
      </c>
    </row>
    <row r="42" spans="1:37" x14ac:dyDescent="0.2">
      <c r="A42" s="4" t="s">
        <v>88</v>
      </c>
      <c r="B42" s="4">
        <v>1</v>
      </c>
      <c r="C42" s="4">
        <v>176</v>
      </c>
      <c r="D42" s="4">
        <v>25</v>
      </c>
      <c r="E42" s="7">
        <v>22.6</v>
      </c>
      <c r="F42" s="4">
        <v>104</v>
      </c>
      <c r="G42" s="4">
        <v>146</v>
      </c>
      <c r="H42" s="4">
        <v>97</v>
      </c>
      <c r="I42" s="4">
        <v>96</v>
      </c>
      <c r="J42" s="4">
        <v>1</v>
      </c>
      <c r="K42" s="4">
        <v>6</v>
      </c>
      <c r="L42" s="4">
        <v>8</v>
      </c>
      <c r="M42" s="4">
        <v>595</v>
      </c>
      <c r="O42" s="4">
        <v>106</v>
      </c>
      <c r="P42" s="4">
        <v>170</v>
      </c>
      <c r="Q42" s="4">
        <v>98</v>
      </c>
      <c r="R42" s="4">
        <v>97</v>
      </c>
      <c r="S42" s="4">
        <v>1</v>
      </c>
      <c r="T42" s="4">
        <v>7</v>
      </c>
      <c r="U42" s="4">
        <v>8</v>
      </c>
      <c r="V42" s="4">
        <v>689</v>
      </c>
      <c r="X42" s="4">
        <v>100</v>
      </c>
      <c r="Y42" s="4">
        <v>158</v>
      </c>
      <c r="Z42" s="4">
        <v>98</v>
      </c>
      <c r="AA42" s="4">
        <v>98</v>
      </c>
      <c r="AB42" s="4">
        <v>0</v>
      </c>
      <c r="AC42" s="4">
        <v>6</v>
      </c>
      <c r="AD42" s="4">
        <v>8</v>
      </c>
      <c r="AE42" s="4">
        <v>791</v>
      </c>
      <c r="AF42" s="7">
        <f t="shared" si="2"/>
        <v>698.08050000000003</v>
      </c>
      <c r="AG42" s="7">
        <f t="shared" si="0"/>
        <v>113.31071416548664</v>
      </c>
      <c r="AI42" s="7">
        <f t="shared" si="3"/>
        <v>751.30499999999995</v>
      </c>
      <c r="AK42" s="4">
        <f t="shared" si="1"/>
        <v>92.915726635653968</v>
      </c>
    </row>
    <row r="43" spans="1:37" x14ac:dyDescent="0.2">
      <c r="A43" s="4" t="s">
        <v>89</v>
      </c>
      <c r="B43" s="4">
        <v>1</v>
      </c>
      <c r="C43" s="4">
        <v>185</v>
      </c>
      <c r="D43" s="4">
        <v>26</v>
      </c>
      <c r="E43" s="4">
        <v>28.05</v>
      </c>
      <c r="F43" s="4">
        <v>109</v>
      </c>
      <c r="G43" s="4">
        <v>138</v>
      </c>
      <c r="H43" s="4">
        <v>97</v>
      </c>
      <c r="I43" s="4">
        <v>93</v>
      </c>
      <c r="J43" s="4">
        <v>2</v>
      </c>
      <c r="K43" s="4">
        <v>3</v>
      </c>
      <c r="L43" s="4">
        <v>6</v>
      </c>
      <c r="M43" s="4">
        <v>540</v>
      </c>
      <c r="O43" s="4">
        <v>87</v>
      </c>
      <c r="P43" s="4">
        <v>126</v>
      </c>
      <c r="Q43" s="4">
        <v>96</v>
      </c>
      <c r="R43" s="4">
        <v>96</v>
      </c>
      <c r="S43" s="4">
        <v>3</v>
      </c>
      <c r="T43" s="4">
        <v>5</v>
      </c>
      <c r="U43" s="4">
        <v>7</v>
      </c>
      <c r="V43" s="4">
        <v>596</v>
      </c>
      <c r="X43" s="4">
        <v>76</v>
      </c>
      <c r="Y43" s="4">
        <v>124</v>
      </c>
      <c r="Z43" s="4">
        <v>98</v>
      </c>
      <c r="AA43" s="4">
        <v>96</v>
      </c>
      <c r="AB43" s="4">
        <v>0</v>
      </c>
      <c r="AC43" s="4">
        <v>5</v>
      </c>
      <c r="AD43" s="4">
        <v>6</v>
      </c>
      <c r="AE43" s="4">
        <v>690</v>
      </c>
      <c r="AF43" s="7">
        <f t="shared" si="2"/>
        <v>667.18849999999998</v>
      </c>
      <c r="AG43" s="7">
        <f t="shared" si="0"/>
        <v>103.41904873959908</v>
      </c>
      <c r="AI43" s="7">
        <f t="shared" si="3"/>
        <v>741.92800000000011</v>
      </c>
      <c r="AK43" s="4">
        <f t="shared" si="1"/>
        <v>89.926313604554608</v>
      </c>
    </row>
    <row r="44" spans="1:37" x14ac:dyDescent="0.2">
      <c r="A44" s="4" t="s">
        <v>90</v>
      </c>
      <c r="B44" s="4">
        <v>0</v>
      </c>
      <c r="C44" s="4">
        <v>158</v>
      </c>
      <c r="D44" s="4">
        <v>24</v>
      </c>
      <c r="E44" s="4">
        <v>22.03</v>
      </c>
      <c r="F44" s="4">
        <v>110</v>
      </c>
      <c r="G44" s="4">
        <v>153</v>
      </c>
      <c r="H44" s="4">
        <v>99</v>
      </c>
      <c r="I44" s="4">
        <v>98</v>
      </c>
      <c r="J44" s="4">
        <v>4</v>
      </c>
      <c r="K44" s="4">
        <v>4</v>
      </c>
      <c r="L44" s="4">
        <v>4</v>
      </c>
      <c r="M44" s="4">
        <v>545</v>
      </c>
      <c r="O44" s="4">
        <v>105</v>
      </c>
      <c r="P44" s="4">
        <v>104</v>
      </c>
      <c r="Q44" s="4">
        <v>98</v>
      </c>
      <c r="R44" s="4">
        <v>99</v>
      </c>
      <c r="S44" s="4">
        <v>3</v>
      </c>
      <c r="T44" s="4">
        <v>4</v>
      </c>
      <c r="U44" s="4">
        <v>4</v>
      </c>
      <c r="V44" s="4">
        <v>564</v>
      </c>
      <c r="X44" s="4">
        <v>113</v>
      </c>
      <c r="Y44" s="4">
        <v>147</v>
      </c>
      <c r="Z44" s="4">
        <v>98</v>
      </c>
      <c r="AA44" s="4">
        <v>99</v>
      </c>
      <c r="AB44" s="4">
        <v>3</v>
      </c>
      <c r="AC44" s="4">
        <v>4</v>
      </c>
      <c r="AD44" s="4">
        <v>4</v>
      </c>
      <c r="AE44" s="4">
        <v>535</v>
      </c>
      <c r="AF44" s="7">
        <f t="shared" si="2"/>
        <v>656.40589999999997</v>
      </c>
      <c r="AG44" s="7">
        <f t="shared" si="0"/>
        <v>81.504447172092753</v>
      </c>
      <c r="AI44" s="7">
        <f t="shared" si="3"/>
        <v>658.27299999999991</v>
      </c>
      <c r="AK44" s="4">
        <f t="shared" si="1"/>
        <v>99.716363879423895</v>
      </c>
    </row>
    <row r="45" spans="1:37" x14ac:dyDescent="0.2">
      <c r="A45" s="4" t="s">
        <v>91</v>
      </c>
      <c r="B45" s="4">
        <v>0</v>
      </c>
      <c r="C45" s="4">
        <v>150</v>
      </c>
      <c r="D45" s="4">
        <v>31</v>
      </c>
      <c r="E45" s="4">
        <v>28.89</v>
      </c>
      <c r="F45" s="4">
        <v>142</v>
      </c>
      <c r="G45" s="4">
        <v>154</v>
      </c>
      <c r="H45" s="4">
        <v>95</v>
      </c>
      <c r="I45" s="4">
        <v>97</v>
      </c>
      <c r="J45" s="4">
        <v>0</v>
      </c>
      <c r="K45" s="4">
        <v>2</v>
      </c>
      <c r="L45" s="4">
        <v>2</v>
      </c>
      <c r="M45" s="4">
        <v>530</v>
      </c>
      <c r="O45" s="4">
        <v>110</v>
      </c>
      <c r="P45" s="4">
        <v>152</v>
      </c>
      <c r="Q45" s="4">
        <v>99</v>
      </c>
      <c r="R45" s="4">
        <v>97</v>
      </c>
      <c r="S45" s="4">
        <v>0</v>
      </c>
      <c r="T45" s="4">
        <v>2</v>
      </c>
      <c r="U45" s="4">
        <v>3</v>
      </c>
      <c r="V45" s="4">
        <v>631</v>
      </c>
      <c r="X45" s="4">
        <v>56</v>
      </c>
      <c r="Y45" s="4">
        <v>140</v>
      </c>
      <c r="Z45" s="4">
        <v>97</v>
      </c>
      <c r="AA45" s="4">
        <v>98</v>
      </c>
      <c r="AB45" s="4">
        <v>0</v>
      </c>
      <c r="AC45" s="4">
        <v>3</v>
      </c>
      <c r="AD45" s="4">
        <v>2</v>
      </c>
      <c r="AE45" s="4">
        <v>644</v>
      </c>
      <c r="AF45" s="7">
        <f t="shared" si="2"/>
        <v>593.51020000000005</v>
      </c>
      <c r="AG45" s="7">
        <f t="shared" si="0"/>
        <v>108.50698100891947</v>
      </c>
      <c r="AI45" s="7">
        <f t="shared" si="3"/>
        <v>675.96500000000003</v>
      </c>
      <c r="AK45" s="4">
        <f t="shared" si="1"/>
        <v>87.801912820930085</v>
      </c>
    </row>
    <row r="46" spans="1:37" x14ac:dyDescent="0.2">
      <c r="A46" s="4" t="s">
        <v>92</v>
      </c>
      <c r="B46" s="4">
        <v>0</v>
      </c>
      <c r="C46" s="4">
        <v>160</v>
      </c>
      <c r="D46" s="4">
        <v>26</v>
      </c>
      <c r="E46" s="4">
        <v>23.8</v>
      </c>
      <c r="F46" s="4">
        <v>114</v>
      </c>
      <c r="G46" s="4">
        <v>121</v>
      </c>
      <c r="H46" s="4">
        <v>99</v>
      </c>
      <c r="I46" s="4">
        <v>97</v>
      </c>
      <c r="J46" s="4">
        <v>0</v>
      </c>
      <c r="K46" s="4">
        <v>2</v>
      </c>
      <c r="L46" s="4">
        <v>3</v>
      </c>
      <c r="M46" s="4">
        <v>580</v>
      </c>
      <c r="O46" s="4">
        <v>104</v>
      </c>
      <c r="P46" s="4">
        <v>117</v>
      </c>
      <c r="Q46" s="4">
        <v>98</v>
      </c>
      <c r="R46" s="4">
        <v>97</v>
      </c>
      <c r="S46" s="4">
        <v>0</v>
      </c>
      <c r="T46" s="4">
        <v>2</v>
      </c>
      <c r="U46" s="4">
        <v>2</v>
      </c>
      <c r="V46" s="4">
        <v>714</v>
      </c>
      <c r="X46" s="4">
        <v>102</v>
      </c>
      <c r="Y46" s="4">
        <v>150</v>
      </c>
      <c r="Z46" s="4">
        <v>99</v>
      </c>
      <c r="AA46" s="4">
        <v>99</v>
      </c>
      <c r="AB46" s="4">
        <v>0</v>
      </c>
      <c r="AC46" s="4">
        <v>2</v>
      </c>
      <c r="AD46" s="4">
        <v>3</v>
      </c>
      <c r="AE46" s="4">
        <v>570</v>
      </c>
      <c r="AF46" s="7">
        <f t="shared" si="2"/>
        <v>639.01600000000008</v>
      </c>
      <c r="AG46" s="7">
        <f t="shared" si="0"/>
        <v>89.19964445334702</v>
      </c>
      <c r="AI46" s="7">
        <f t="shared" si="3"/>
        <v>672.17000000000007</v>
      </c>
      <c r="AK46" s="4">
        <f t="shared" si="1"/>
        <v>95.067616823125107</v>
      </c>
    </row>
    <row r="47" spans="1:37" x14ac:dyDescent="0.2">
      <c r="A47" s="4" t="s">
        <v>93</v>
      </c>
      <c r="B47" s="4">
        <v>0</v>
      </c>
      <c r="C47" s="4">
        <v>163</v>
      </c>
      <c r="D47" s="4">
        <v>34</v>
      </c>
      <c r="E47" s="4">
        <v>21.4</v>
      </c>
      <c r="F47" s="4">
        <v>116</v>
      </c>
      <c r="G47" s="4">
        <v>166</v>
      </c>
      <c r="H47" s="4">
        <v>99</v>
      </c>
      <c r="I47" s="4">
        <v>99</v>
      </c>
      <c r="J47" s="4">
        <v>0</v>
      </c>
      <c r="K47" s="4">
        <v>2</v>
      </c>
      <c r="L47" s="4">
        <v>2</v>
      </c>
      <c r="M47" s="4">
        <v>480</v>
      </c>
      <c r="O47" s="4">
        <v>124</v>
      </c>
      <c r="P47" s="4">
        <v>137</v>
      </c>
      <c r="Q47" s="4">
        <v>94</v>
      </c>
      <c r="R47" s="4">
        <v>98</v>
      </c>
      <c r="S47" s="4">
        <v>0</v>
      </c>
      <c r="T47" s="4">
        <v>1</v>
      </c>
      <c r="U47" s="4">
        <v>2</v>
      </c>
      <c r="V47" s="4">
        <v>630</v>
      </c>
      <c r="X47" s="4">
        <v>114</v>
      </c>
      <c r="Y47" s="4">
        <v>144</v>
      </c>
      <c r="Z47" s="4">
        <v>98</v>
      </c>
      <c r="AA47" s="4">
        <v>98</v>
      </c>
      <c r="AB47" s="4">
        <v>0</v>
      </c>
      <c r="AC47" s="4">
        <v>2</v>
      </c>
      <c r="AD47" s="4">
        <v>3</v>
      </c>
      <c r="AE47" s="4">
        <v>690</v>
      </c>
      <c r="AF47" s="7">
        <f t="shared" si="2"/>
        <v>618.38400000000013</v>
      </c>
      <c r="AG47" s="7">
        <f t="shared" si="0"/>
        <v>111.58115345804546</v>
      </c>
      <c r="AI47" s="7">
        <f t="shared" si="3"/>
        <v>638.66799999999989</v>
      </c>
      <c r="AK47" s="4">
        <f t="shared" si="1"/>
        <v>96.824014981179616</v>
      </c>
    </row>
    <row r="48" spans="1:37" x14ac:dyDescent="0.2">
      <c r="A48" s="4" t="s">
        <v>94</v>
      </c>
      <c r="B48" s="4">
        <v>0</v>
      </c>
      <c r="C48" s="4">
        <v>168</v>
      </c>
      <c r="D48" s="4">
        <v>44</v>
      </c>
      <c r="E48" s="4">
        <v>31</v>
      </c>
      <c r="F48" s="4">
        <v>102</v>
      </c>
      <c r="G48" s="4">
        <v>150</v>
      </c>
      <c r="H48" s="4">
        <v>99</v>
      </c>
      <c r="I48" s="4">
        <v>99</v>
      </c>
      <c r="J48" s="4">
        <v>0</v>
      </c>
      <c r="K48" s="4">
        <v>3</v>
      </c>
      <c r="L48" s="4">
        <v>5</v>
      </c>
      <c r="M48" s="4">
        <v>510</v>
      </c>
      <c r="O48" s="4">
        <v>113</v>
      </c>
      <c r="P48" s="4">
        <v>135</v>
      </c>
      <c r="Q48" s="4">
        <v>96</v>
      </c>
      <c r="R48" s="4">
        <v>96</v>
      </c>
      <c r="S48" s="4">
        <v>0</v>
      </c>
      <c r="T48" s="4">
        <v>3</v>
      </c>
      <c r="U48" s="4">
        <v>4</v>
      </c>
      <c r="V48" s="4">
        <v>520</v>
      </c>
      <c r="X48" s="4">
        <v>102</v>
      </c>
      <c r="Y48" s="4">
        <v>107</v>
      </c>
      <c r="Z48" s="4">
        <v>96</v>
      </c>
      <c r="AA48" s="4">
        <v>96</v>
      </c>
      <c r="AB48" s="4">
        <v>0</v>
      </c>
      <c r="AC48" s="4">
        <v>3</v>
      </c>
      <c r="AD48" s="4">
        <v>5</v>
      </c>
      <c r="AE48" s="4">
        <v>575</v>
      </c>
      <c r="AF48" s="7">
        <f t="shared" si="2"/>
        <v>537.44200000000001</v>
      </c>
      <c r="AG48" s="7">
        <f t="shared" si="0"/>
        <v>106.98828896885617</v>
      </c>
      <c r="AI48" s="7">
        <f t="shared" si="3"/>
        <v>585.65300000000002</v>
      </c>
      <c r="AK48" s="4">
        <f t="shared" si="1"/>
        <v>91.767992309439208</v>
      </c>
    </row>
    <row r="49" spans="1:37" x14ac:dyDescent="0.2">
      <c r="A49" s="4" t="s">
        <v>97</v>
      </c>
      <c r="B49" s="4">
        <v>0</v>
      </c>
      <c r="C49" s="4">
        <v>166</v>
      </c>
      <c r="D49" s="4">
        <v>60</v>
      </c>
      <c r="E49" s="4">
        <v>23.95</v>
      </c>
      <c r="F49" s="4">
        <v>96</v>
      </c>
      <c r="G49" s="4">
        <v>158</v>
      </c>
      <c r="H49" s="4">
        <v>98</v>
      </c>
      <c r="I49" s="4">
        <v>98</v>
      </c>
      <c r="J49" s="4">
        <v>2</v>
      </c>
      <c r="K49" s="4">
        <v>3</v>
      </c>
      <c r="L49" s="4">
        <v>4</v>
      </c>
      <c r="M49" s="4">
        <v>540</v>
      </c>
      <c r="O49" s="4">
        <v>118</v>
      </c>
      <c r="P49" s="4">
        <v>164</v>
      </c>
      <c r="Q49" s="4">
        <v>98</v>
      </c>
      <c r="R49" s="4">
        <v>99</v>
      </c>
      <c r="S49" s="4">
        <v>2</v>
      </c>
      <c r="T49" s="4">
        <v>2</v>
      </c>
      <c r="U49" s="4">
        <v>4</v>
      </c>
      <c r="V49" s="4">
        <v>624</v>
      </c>
      <c r="X49" s="4">
        <v>116</v>
      </c>
      <c r="Y49" s="4">
        <v>154</v>
      </c>
      <c r="Z49" s="4">
        <v>96</v>
      </c>
      <c r="AA49" s="4">
        <v>98</v>
      </c>
      <c r="AB49" s="4">
        <v>2</v>
      </c>
      <c r="AC49" s="4">
        <v>2</v>
      </c>
      <c r="AD49" s="4">
        <v>3</v>
      </c>
      <c r="AE49" s="4">
        <v>540</v>
      </c>
      <c r="AF49" s="7">
        <f t="shared" si="2"/>
        <v>531.4235000000001</v>
      </c>
      <c r="AG49" s="7">
        <f t="shared" si="0"/>
        <v>101.61387292808841</v>
      </c>
      <c r="AI49" s="7">
        <f t="shared" si="3"/>
        <v>595.55200000000002</v>
      </c>
      <c r="AK49" s="4">
        <f t="shared" si="1"/>
        <v>89.232090564719797</v>
      </c>
    </row>
    <row r="50" spans="1:37" x14ac:dyDescent="0.2">
      <c r="A50" s="4" t="s">
        <v>98</v>
      </c>
      <c r="B50" s="4">
        <v>0</v>
      </c>
      <c r="C50" s="4">
        <v>159</v>
      </c>
      <c r="D50" s="4">
        <v>36</v>
      </c>
      <c r="E50" s="4">
        <v>24.52</v>
      </c>
      <c r="F50" s="4">
        <v>98</v>
      </c>
      <c r="G50" s="4">
        <v>145</v>
      </c>
      <c r="H50" s="4">
        <v>98</v>
      </c>
      <c r="I50" s="4">
        <v>98</v>
      </c>
      <c r="J50" s="4">
        <v>4</v>
      </c>
      <c r="K50" s="4">
        <v>5</v>
      </c>
      <c r="L50" s="4">
        <v>9</v>
      </c>
      <c r="M50" s="4">
        <v>600</v>
      </c>
      <c r="O50" s="4">
        <v>98</v>
      </c>
      <c r="P50" s="4">
        <v>122</v>
      </c>
      <c r="Q50" s="4">
        <v>98</v>
      </c>
      <c r="R50" s="4">
        <v>96</v>
      </c>
      <c r="S50" s="4">
        <v>2</v>
      </c>
      <c r="T50" s="4">
        <v>4</v>
      </c>
      <c r="U50" s="4">
        <v>9</v>
      </c>
      <c r="V50" s="4">
        <v>677</v>
      </c>
      <c r="X50" s="4">
        <v>74</v>
      </c>
      <c r="Y50" s="4">
        <v>102</v>
      </c>
      <c r="Z50" s="4">
        <v>98</v>
      </c>
      <c r="AA50" s="4">
        <v>97</v>
      </c>
      <c r="AB50" s="4">
        <v>0</v>
      </c>
      <c r="AC50" s="4">
        <v>3</v>
      </c>
      <c r="AD50" s="4">
        <v>7</v>
      </c>
      <c r="AE50" s="4">
        <v>613</v>
      </c>
      <c r="AF50" s="7">
        <f t="shared" si="2"/>
        <v>595.79959999999994</v>
      </c>
      <c r="AG50" s="7">
        <f t="shared" si="0"/>
        <v>102.88694386501771</v>
      </c>
      <c r="AI50" s="7">
        <f t="shared" si="3"/>
        <v>609.91599999999994</v>
      </c>
      <c r="AK50" s="4">
        <f t="shared" si="1"/>
        <v>97.685517349930151</v>
      </c>
    </row>
    <row r="51" spans="1:37" x14ac:dyDescent="0.2">
      <c r="A51" s="4" t="s">
        <v>100</v>
      </c>
      <c r="B51" s="4">
        <v>0</v>
      </c>
      <c r="C51" s="4">
        <v>159</v>
      </c>
      <c r="D51" s="4">
        <v>36</v>
      </c>
      <c r="E51" s="4">
        <v>23.34</v>
      </c>
      <c r="F51" s="4">
        <v>81</v>
      </c>
      <c r="G51" s="4">
        <v>130</v>
      </c>
      <c r="H51" s="4">
        <v>99</v>
      </c>
      <c r="I51" s="4">
        <v>97</v>
      </c>
      <c r="J51" s="4">
        <v>1</v>
      </c>
      <c r="K51" s="4">
        <v>4</v>
      </c>
      <c r="L51" s="4">
        <v>5</v>
      </c>
      <c r="M51" s="4">
        <v>600</v>
      </c>
      <c r="O51" s="4">
        <v>77</v>
      </c>
      <c r="P51" s="4">
        <v>85</v>
      </c>
      <c r="Q51" s="4">
        <v>99</v>
      </c>
      <c r="R51" s="4">
        <v>98</v>
      </c>
      <c r="S51" s="4">
        <v>1</v>
      </c>
      <c r="T51" s="4">
        <v>4</v>
      </c>
      <c r="U51" s="4">
        <v>6</v>
      </c>
      <c r="V51" s="4">
        <v>654</v>
      </c>
      <c r="X51" s="4">
        <v>67</v>
      </c>
      <c r="Y51" s="4">
        <v>111</v>
      </c>
      <c r="Z51" s="4">
        <v>99</v>
      </c>
      <c r="AA51" s="4">
        <v>97</v>
      </c>
      <c r="AB51" s="4">
        <v>1</v>
      </c>
      <c r="AC51" s="4">
        <v>4</v>
      </c>
      <c r="AD51" s="4">
        <v>5</v>
      </c>
      <c r="AE51" s="4">
        <v>660</v>
      </c>
      <c r="AF51" s="7">
        <f t="shared" si="2"/>
        <v>601.5462</v>
      </c>
      <c r="AG51" s="7">
        <f t="shared" si="0"/>
        <v>109.71725862452459</v>
      </c>
      <c r="AI51" s="7">
        <f t="shared" si="3"/>
        <v>629.20099999999991</v>
      </c>
      <c r="AK51" s="4">
        <f t="shared" si="1"/>
        <v>95.604774944731503</v>
      </c>
    </row>
    <row r="52" spans="1:37" x14ac:dyDescent="0.2">
      <c r="A52" s="4" t="s">
        <v>101</v>
      </c>
      <c r="B52" s="4">
        <v>0</v>
      </c>
      <c r="C52" s="4">
        <v>162</v>
      </c>
      <c r="D52" s="4">
        <v>36</v>
      </c>
      <c r="E52" s="4">
        <v>24.7</v>
      </c>
      <c r="F52" s="4">
        <v>105</v>
      </c>
      <c r="G52" s="4">
        <v>136</v>
      </c>
      <c r="H52" s="4">
        <v>96</v>
      </c>
      <c r="I52" s="4">
        <v>98</v>
      </c>
      <c r="J52" s="4">
        <v>0</v>
      </c>
      <c r="K52" s="4">
        <v>4</v>
      </c>
      <c r="L52" s="4">
        <v>6</v>
      </c>
      <c r="M52" s="4">
        <v>590</v>
      </c>
      <c r="O52" s="4">
        <v>73</v>
      </c>
      <c r="P52" s="4">
        <v>129</v>
      </c>
      <c r="Q52" s="4">
        <v>98</v>
      </c>
      <c r="R52" s="4">
        <v>99</v>
      </c>
      <c r="S52" s="4">
        <v>1</v>
      </c>
      <c r="T52" s="4">
        <v>4</v>
      </c>
      <c r="U52" s="4">
        <v>6</v>
      </c>
      <c r="V52" s="4">
        <v>630</v>
      </c>
      <c r="X52" s="4">
        <v>78</v>
      </c>
      <c r="Y52" s="4">
        <v>144</v>
      </c>
      <c r="Z52" s="4">
        <v>98</v>
      </c>
      <c r="AA52" s="4">
        <v>98</v>
      </c>
      <c r="AB52" s="4">
        <v>2</v>
      </c>
      <c r="AC52" s="4">
        <v>5</v>
      </c>
      <c r="AD52" s="4">
        <v>5</v>
      </c>
      <c r="AE52" s="4">
        <v>589</v>
      </c>
      <c r="AF52" s="7">
        <f t="shared" si="2"/>
        <v>594.923</v>
      </c>
      <c r="AG52" s="7">
        <f t="shared" si="0"/>
        <v>99.004408973934446</v>
      </c>
      <c r="AI52" s="7">
        <f t="shared" si="3"/>
        <v>668.35799999999995</v>
      </c>
      <c r="AK52" s="4">
        <f t="shared" si="1"/>
        <v>89.012624970449977</v>
      </c>
    </row>
    <row r="53" spans="1:37" x14ac:dyDescent="0.2">
      <c r="A53" s="4" t="s">
        <v>102</v>
      </c>
      <c r="B53" s="4">
        <v>1</v>
      </c>
      <c r="C53" s="4">
        <v>193</v>
      </c>
      <c r="D53" s="4">
        <v>28</v>
      </c>
      <c r="E53" s="4">
        <v>24.43</v>
      </c>
      <c r="F53" s="4">
        <v>116</v>
      </c>
      <c r="G53" s="4">
        <v>125</v>
      </c>
      <c r="H53" s="4">
        <v>99</v>
      </c>
      <c r="I53" s="4">
        <v>99</v>
      </c>
      <c r="J53" s="4">
        <v>1</v>
      </c>
      <c r="K53" s="4">
        <v>4</v>
      </c>
      <c r="L53" s="4">
        <v>6</v>
      </c>
      <c r="M53" s="4">
        <v>650</v>
      </c>
      <c r="O53" s="4">
        <v>99</v>
      </c>
      <c r="P53" s="4">
        <v>130</v>
      </c>
      <c r="Q53" s="4">
        <v>98</v>
      </c>
      <c r="R53" s="4">
        <v>99</v>
      </c>
      <c r="S53" s="4">
        <v>1</v>
      </c>
      <c r="T53" s="4">
        <v>3</v>
      </c>
      <c r="U53" s="4">
        <v>4</v>
      </c>
      <c r="V53" s="4">
        <v>700</v>
      </c>
      <c r="X53" s="4">
        <v>99</v>
      </c>
      <c r="Y53" s="4">
        <v>112</v>
      </c>
      <c r="Z53" s="4">
        <v>98</v>
      </c>
      <c r="AA53" s="4">
        <v>99</v>
      </c>
      <c r="AB53" s="4">
        <v>1</v>
      </c>
      <c r="AC53" s="4">
        <v>4</v>
      </c>
      <c r="AD53" s="4">
        <v>5</v>
      </c>
      <c r="AE53" s="4">
        <v>770</v>
      </c>
      <c r="AF53" s="7">
        <f t="shared" si="2"/>
        <v>676.32389999999998</v>
      </c>
      <c r="AG53" s="7">
        <f t="shared" si="0"/>
        <v>113.85077475452221</v>
      </c>
      <c r="AI53" s="7">
        <f t="shared" si="3"/>
        <v>711.57400000000007</v>
      </c>
      <c r="AK53" s="4">
        <f t="shared" si="1"/>
        <v>95.046179315152031</v>
      </c>
    </row>
    <row r="54" spans="1:37" x14ac:dyDescent="0.2">
      <c r="A54" s="4" t="s">
        <v>103</v>
      </c>
      <c r="B54" s="4">
        <v>0</v>
      </c>
      <c r="C54" s="4">
        <v>156</v>
      </c>
      <c r="D54" s="4">
        <v>24</v>
      </c>
      <c r="E54" s="4">
        <v>19.72</v>
      </c>
      <c r="F54" s="4">
        <v>144</v>
      </c>
      <c r="G54" s="4">
        <v>180</v>
      </c>
      <c r="H54" s="4">
        <v>98</v>
      </c>
      <c r="I54" s="4">
        <v>98</v>
      </c>
      <c r="J54" s="4">
        <v>2</v>
      </c>
      <c r="K54" s="4">
        <v>3</v>
      </c>
      <c r="L54" s="4">
        <v>7</v>
      </c>
      <c r="M54" s="4">
        <v>610</v>
      </c>
      <c r="O54" s="4">
        <v>143</v>
      </c>
      <c r="P54" s="4">
        <v>184</v>
      </c>
      <c r="Q54" s="4">
        <v>98</v>
      </c>
      <c r="R54" s="4">
        <v>99</v>
      </c>
      <c r="S54" s="4">
        <v>0</v>
      </c>
      <c r="T54" s="4">
        <v>4</v>
      </c>
      <c r="U54" s="4">
        <v>7</v>
      </c>
      <c r="V54" s="4">
        <v>670</v>
      </c>
      <c r="X54" s="4">
        <v>139</v>
      </c>
      <c r="Y54" s="4">
        <v>173</v>
      </c>
      <c r="Z54" s="4">
        <v>99</v>
      </c>
      <c r="AA54" s="4">
        <v>98</v>
      </c>
      <c r="AB54" s="4">
        <v>0</v>
      </c>
      <c r="AC54" s="4">
        <v>4</v>
      </c>
      <c r="AD54" s="4">
        <v>6</v>
      </c>
      <c r="AE54" s="4">
        <v>732</v>
      </c>
      <c r="AF54" s="7">
        <f t="shared" si="2"/>
        <v>667.65560000000005</v>
      </c>
      <c r="AG54" s="7">
        <f t="shared" si="0"/>
        <v>109.63736393433979</v>
      </c>
      <c r="AI54" s="7">
        <f t="shared" si="3"/>
        <v>664.35500000000002</v>
      </c>
      <c r="AK54" s="4">
        <f t="shared" si="1"/>
        <v>100.49681269803044</v>
      </c>
    </row>
    <row r="55" spans="1:37" x14ac:dyDescent="0.2">
      <c r="A55" s="4" t="s">
        <v>104</v>
      </c>
      <c r="B55" s="4">
        <v>0</v>
      </c>
      <c r="C55" s="4">
        <v>171</v>
      </c>
      <c r="D55" s="4">
        <v>26</v>
      </c>
      <c r="E55" s="4">
        <v>25.99</v>
      </c>
      <c r="F55" s="4">
        <v>135</v>
      </c>
      <c r="G55" s="4">
        <v>190</v>
      </c>
      <c r="H55" s="4">
        <v>96</v>
      </c>
      <c r="I55" s="4">
        <v>97</v>
      </c>
      <c r="J55" s="4">
        <v>0</v>
      </c>
      <c r="K55" s="4">
        <v>6</v>
      </c>
      <c r="L55" s="4">
        <v>9</v>
      </c>
      <c r="M55" s="4">
        <v>740</v>
      </c>
      <c r="O55" s="4">
        <v>134</v>
      </c>
      <c r="P55" s="4">
        <v>180</v>
      </c>
      <c r="Q55" s="4">
        <v>97</v>
      </c>
      <c r="R55" s="4">
        <v>97</v>
      </c>
      <c r="S55" s="4">
        <v>0</v>
      </c>
      <c r="T55" s="4">
        <v>6</v>
      </c>
      <c r="U55" s="4">
        <v>7</v>
      </c>
      <c r="V55" s="4">
        <v>740</v>
      </c>
      <c r="X55" s="4">
        <v>108</v>
      </c>
      <c r="Y55" s="4">
        <v>152</v>
      </c>
      <c r="Z55" s="4">
        <v>99</v>
      </c>
      <c r="AA55" s="4">
        <v>97</v>
      </c>
      <c r="AB55" s="4">
        <v>0</v>
      </c>
      <c r="AC55" s="4">
        <v>6</v>
      </c>
      <c r="AD55" s="4">
        <v>8</v>
      </c>
      <c r="AE55" s="4">
        <v>710</v>
      </c>
      <c r="AF55" s="7">
        <f t="shared" si="2"/>
        <v>628.35070000000007</v>
      </c>
      <c r="AG55" s="7">
        <f t="shared" si="0"/>
        <v>112.994224403665</v>
      </c>
      <c r="AI55" s="7">
        <f t="shared" si="3"/>
        <v>687.64400000000001</v>
      </c>
      <c r="AK55" s="4">
        <f t="shared" si="1"/>
        <v>91.377326058251086</v>
      </c>
    </row>
    <row r="56" spans="1:37" x14ac:dyDescent="0.2">
      <c r="A56" s="4" t="s">
        <v>105</v>
      </c>
      <c r="B56" s="4">
        <v>0</v>
      </c>
      <c r="C56" s="4">
        <v>156</v>
      </c>
      <c r="D56" s="4">
        <v>27</v>
      </c>
      <c r="E56" s="4">
        <v>22.6</v>
      </c>
      <c r="F56" s="4">
        <v>99</v>
      </c>
      <c r="G56" s="4">
        <v>85</v>
      </c>
      <c r="H56" s="4">
        <v>97</v>
      </c>
      <c r="I56" s="4">
        <v>98</v>
      </c>
      <c r="J56" s="4">
        <v>0</v>
      </c>
      <c r="K56" s="4">
        <v>5</v>
      </c>
      <c r="L56" s="4">
        <v>6</v>
      </c>
      <c r="M56" s="4">
        <v>610</v>
      </c>
      <c r="O56" s="4">
        <v>86</v>
      </c>
      <c r="P56" s="4">
        <v>101</v>
      </c>
      <c r="Q56" s="4">
        <v>99</v>
      </c>
      <c r="R56" s="4">
        <v>99</v>
      </c>
      <c r="S56" s="4">
        <v>1</v>
      </c>
      <c r="T56" s="4">
        <v>5</v>
      </c>
      <c r="U56" s="4">
        <v>7</v>
      </c>
      <c r="V56" s="4">
        <v>636</v>
      </c>
      <c r="X56" s="4">
        <v>102</v>
      </c>
      <c r="Y56" s="4">
        <v>105</v>
      </c>
      <c r="Z56" s="4">
        <v>97</v>
      </c>
      <c r="AA56" s="4">
        <v>99</v>
      </c>
      <c r="AB56" s="4">
        <v>4</v>
      </c>
      <c r="AC56" s="4">
        <v>5</v>
      </c>
      <c r="AD56" s="4">
        <v>7</v>
      </c>
      <c r="AE56" s="4">
        <v>615</v>
      </c>
      <c r="AF56" s="7">
        <f t="shared" si="2"/>
        <v>640.57849999999996</v>
      </c>
      <c r="AG56" s="7">
        <f t="shared" si="0"/>
        <v>96.006968700947652</v>
      </c>
      <c r="AI56" s="7">
        <f t="shared" si="3"/>
        <v>601.62599999999998</v>
      </c>
      <c r="AK56" s="4">
        <f t="shared" si="1"/>
        <v>106.47453733714967</v>
      </c>
    </row>
    <row r="57" spans="1:37" x14ac:dyDescent="0.2">
      <c r="A57" s="4" t="s">
        <v>106</v>
      </c>
      <c r="B57" s="4">
        <v>0</v>
      </c>
      <c r="C57" s="4">
        <v>170</v>
      </c>
      <c r="D57" s="4">
        <v>24</v>
      </c>
      <c r="E57" s="4">
        <v>18.690000000000001</v>
      </c>
      <c r="F57" s="4">
        <v>127</v>
      </c>
      <c r="G57" s="4">
        <v>182</v>
      </c>
      <c r="H57" s="4">
        <v>97</v>
      </c>
      <c r="I57" s="4">
        <v>98</v>
      </c>
      <c r="J57" s="4">
        <v>5</v>
      </c>
      <c r="K57" s="4">
        <v>7</v>
      </c>
      <c r="L57" s="4">
        <v>7</v>
      </c>
      <c r="M57" s="4">
        <v>620</v>
      </c>
      <c r="O57" s="4">
        <v>77</v>
      </c>
      <c r="P57" s="4">
        <v>87</v>
      </c>
      <c r="Q57" s="4">
        <v>97</v>
      </c>
      <c r="R57" s="4">
        <v>97</v>
      </c>
      <c r="S57" s="4">
        <v>2</v>
      </c>
      <c r="T57" s="4">
        <v>6</v>
      </c>
      <c r="U57" s="4">
        <v>7</v>
      </c>
      <c r="V57" s="4">
        <v>620</v>
      </c>
      <c r="X57" s="4">
        <v>145</v>
      </c>
      <c r="Y57" s="4">
        <v>174</v>
      </c>
      <c r="Z57" s="4">
        <v>98</v>
      </c>
      <c r="AA57" s="4">
        <v>98</v>
      </c>
      <c r="AB57" s="4">
        <v>5</v>
      </c>
      <c r="AC57" s="4">
        <v>7</v>
      </c>
      <c r="AD57" s="4">
        <v>8</v>
      </c>
      <c r="AE57" s="4">
        <v>634</v>
      </c>
      <c r="AF57" s="7">
        <f t="shared" si="2"/>
        <v>672.67169999999999</v>
      </c>
      <c r="AG57" s="7">
        <f t="shared" si="0"/>
        <v>94.251029142447933</v>
      </c>
      <c r="AI57" s="7">
        <f t="shared" si="3"/>
        <v>683.57600000000002</v>
      </c>
      <c r="AK57" s="4">
        <f t="shared" si="1"/>
        <v>98.404815265603233</v>
      </c>
    </row>
    <row r="58" spans="1:37" x14ac:dyDescent="0.2">
      <c r="A58" s="4" t="s">
        <v>107</v>
      </c>
      <c r="B58" s="4">
        <v>0</v>
      </c>
      <c r="C58" s="4">
        <v>165</v>
      </c>
      <c r="D58" s="4">
        <v>28</v>
      </c>
      <c r="E58" s="4">
        <v>18.37</v>
      </c>
      <c r="F58" s="4">
        <v>108</v>
      </c>
      <c r="G58" s="4">
        <v>168</v>
      </c>
      <c r="H58" s="4">
        <v>99</v>
      </c>
      <c r="I58" s="4">
        <v>97</v>
      </c>
      <c r="J58" s="4">
        <v>4</v>
      </c>
      <c r="K58" s="4">
        <v>5</v>
      </c>
      <c r="L58" s="4">
        <v>6</v>
      </c>
      <c r="M58" s="4">
        <v>680</v>
      </c>
      <c r="O58" s="4">
        <v>102</v>
      </c>
      <c r="P58" s="4">
        <v>157</v>
      </c>
      <c r="Q58" s="4">
        <v>99</v>
      </c>
      <c r="R58" s="4">
        <v>96</v>
      </c>
      <c r="S58" s="4">
        <v>2</v>
      </c>
      <c r="T58" s="4">
        <v>4</v>
      </c>
      <c r="U58" s="4">
        <v>6</v>
      </c>
      <c r="V58" s="4">
        <v>666</v>
      </c>
      <c r="X58" s="4">
        <v>100</v>
      </c>
      <c r="Y58" s="4">
        <v>153</v>
      </c>
      <c r="Z58" s="4">
        <v>98</v>
      </c>
      <c r="AA58" s="4">
        <v>96</v>
      </c>
      <c r="AB58" s="4">
        <v>1</v>
      </c>
      <c r="AC58" s="4">
        <v>3</v>
      </c>
      <c r="AD58" s="4">
        <v>5</v>
      </c>
      <c r="AE58" s="4">
        <v>780</v>
      </c>
      <c r="AF58" s="7">
        <f t="shared" si="2"/>
        <v>656.96609999999998</v>
      </c>
      <c r="AG58" s="7">
        <f t="shared" si="0"/>
        <v>118.72758731386597</v>
      </c>
      <c r="AI58" s="7">
        <f t="shared" si="3"/>
        <v>682.17900000000009</v>
      </c>
      <c r="AK58" s="4">
        <f t="shared" si="1"/>
        <v>96.304063889389724</v>
      </c>
    </row>
    <row r="59" spans="1:37" x14ac:dyDescent="0.2">
      <c r="A59" s="4" t="s">
        <v>108</v>
      </c>
      <c r="B59" s="4">
        <v>0</v>
      </c>
      <c r="C59" s="4">
        <v>170</v>
      </c>
      <c r="D59" s="4">
        <v>24</v>
      </c>
      <c r="E59" s="4">
        <v>25.8</v>
      </c>
      <c r="F59" s="4">
        <v>110</v>
      </c>
      <c r="G59" s="4">
        <v>120</v>
      </c>
      <c r="H59" s="4">
        <v>99</v>
      </c>
      <c r="I59" s="4">
        <v>98</v>
      </c>
      <c r="J59" s="4">
        <v>2</v>
      </c>
      <c r="K59" s="4">
        <v>4</v>
      </c>
      <c r="L59" s="4">
        <v>4</v>
      </c>
      <c r="M59" s="4">
        <v>540</v>
      </c>
      <c r="O59" s="4">
        <v>91</v>
      </c>
      <c r="P59" s="4">
        <v>130</v>
      </c>
      <c r="Q59" s="4">
        <v>97</v>
      </c>
      <c r="R59" s="4">
        <v>98</v>
      </c>
      <c r="S59" s="4">
        <v>1</v>
      </c>
      <c r="T59" s="4">
        <v>4</v>
      </c>
      <c r="U59" s="4">
        <v>6</v>
      </c>
      <c r="V59" s="4">
        <v>700</v>
      </c>
      <c r="X59" s="4">
        <v>90</v>
      </c>
      <c r="Y59" s="4">
        <v>123</v>
      </c>
      <c r="Z59" s="4">
        <v>98</v>
      </c>
      <c r="AA59" s="4">
        <v>95</v>
      </c>
      <c r="AB59" s="4">
        <v>1</v>
      </c>
      <c r="AC59" s="4">
        <v>3</v>
      </c>
      <c r="AD59" s="4">
        <v>5</v>
      </c>
      <c r="AE59" s="4">
        <v>683</v>
      </c>
      <c r="AF59" s="7">
        <f t="shared" si="2"/>
        <v>638.04600000000005</v>
      </c>
      <c r="AG59" s="7">
        <f t="shared" si="0"/>
        <v>107.04557351664299</v>
      </c>
      <c r="AI59" s="7">
        <f t="shared" si="3"/>
        <v>668.96100000000001</v>
      </c>
      <c r="AK59" s="4">
        <f t="shared" si="1"/>
        <v>95.378654361016572</v>
      </c>
    </row>
    <row r="60" spans="1:37" x14ac:dyDescent="0.2">
      <c r="A60" s="4" t="s">
        <v>109</v>
      </c>
      <c r="B60" s="4">
        <v>0</v>
      </c>
      <c r="C60" s="4">
        <v>158</v>
      </c>
      <c r="D60" s="4">
        <v>56</v>
      </c>
      <c r="E60" s="4">
        <v>26.04</v>
      </c>
      <c r="F60" s="4">
        <v>100</v>
      </c>
      <c r="G60" s="4">
        <v>122</v>
      </c>
      <c r="H60" s="4">
        <v>98</v>
      </c>
      <c r="I60" s="4">
        <v>98</v>
      </c>
      <c r="J60" s="4">
        <v>0</v>
      </c>
      <c r="K60" s="4">
        <v>5</v>
      </c>
      <c r="L60" s="4">
        <v>6</v>
      </c>
      <c r="M60" s="4">
        <v>580</v>
      </c>
      <c r="O60" s="4">
        <v>97</v>
      </c>
      <c r="P60" s="4">
        <v>153</v>
      </c>
      <c r="Q60" s="4">
        <v>97</v>
      </c>
      <c r="R60" s="4">
        <v>99</v>
      </c>
      <c r="S60" s="4">
        <v>0</v>
      </c>
      <c r="T60" s="4">
        <v>3</v>
      </c>
      <c r="U60" s="4">
        <v>3</v>
      </c>
      <c r="V60" s="4">
        <v>672</v>
      </c>
      <c r="X60" s="4">
        <v>83</v>
      </c>
      <c r="Y60" s="4">
        <v>144</v>
      </c>
      <c r="Z60" s="4">
        <v>98</v>
      </c>
      <c r="AA60" s="4">
        <v>98</v>
      </c>
      <c r="AB60" s="4">
        <v>3</v>
      </c>
      <c r="AC60" s="4">
        <v>5</v>
      </c>
      <c r="AD60" s="4">
        <v>5</v>
      </c>
      <c r="AE60" s="4">
        <v>685</v>
      </c>
      <c r="AF60" s="7">
        <f t="shared" si="2"/>
        <v>529.67719999999997</v>
      </c>
      <c r="AG60" s="7">
        <f t="shared" si="0"/>
        <v>129.32404868474612</v>
      </c>
      <c r="AI60" s="7">
        <f t="shared" si="3"/>
        <v>610.48199999999997</v>
      </c>
      <c r="AK60" s="4">
        <f t="shared" si="1"/>
        <v>86.763770266772809</v>
      </c>
    </row>
    <row r="61" spans="1:37" x14ac:dyDescent="0.2">
      <c r="A61" s="4" t="s">
        <v>111</v>
      </c>
      <c r="B61" s="4">
        <v>0</v>
      </c>
      <c r="C61" s="4">
        <v>173</v>
      </c>
      <c r="D61" s="4">
        <v>26</v>
      </c>
      <c r="E61" s="4">
        <v>19.38</v>
      </c>
      <c r="F61" s="4">
        <v>113</v>
      </c>
      <c r="G61" s="4">
        <v>153</v>
      </c>
      <c r="H61" s="4">
        <v>96</v>
      </c>
      <c r="I61" s="4">
        <v>94</v>
      </c>
      <c r="J61" s="4">
        <v>0</v>
      </c>
      <c r="K61" s="4">
        <v>4</v>
      </c>
      <c r="L61" s="4">
        <v>5</v>
      </c>
      <c r="M61" s="4">
        <v>650</v>
      </c>
      <c r="O61" s="4">
        <v>73</v>
      </c>
      <c r="P61" s="4">
        <v>134</v>
      </c>
      <c r="Q61" s="4">
        <v>97</v>
      </c>
      <c r="R61" s="4">
        <v>98</v>
      </c>
      <c r="S61" s="4">
        <v>0</v>
      </c>
      <c r="T61" s="4">
        <v>5</v>
      </c>
      <c r="U61" s="4">
        <v>6</v>
      </c>
      <c r="V61" s="4">
        <v>790</v>
      </c>
      <c r="X61" s="4">
        <v>97</v>
      </c>
      <c r="Y61" s="4">
        <v>118</v>
      </c>
      <c r="Z61" s="4">
        <v>97</v>
      </c>
      <c r="AA61" s="4">
        <v>99</v>
      </c>
      <c r="AB61" s="4">
        <v>1</v>
      </c>
      <c r="AC61" s="4">
        <v>5</v>
      </c>
      <c r="AD61" s="4">
        <v>7</v>
      </c>
      <c r="AE61" s="4">
        <v>810</v>
      </c>
      <c r="AF61" s="7">
        <f t="shared" si="2"/>
        <v>660.54140000000007</v>
      </c>
      <c r="AG61" s="7">
        <f t="shared" si="0"/>
        <v>122.62668168868748</v>
      </c>
      <c r="AI61" s="7">
        <f t="shared" si="3"/>
        <v>655.64200000000005</v>
      </c>
      <c r="AK61" s="4">
        <f t="shared" si="1"/>
        <v>100.74726756370092</v>
      </c>
    </row>
    <row r="62" spans="1:37" x14ac:dyDescent="0.2">
      <c r="A62" s="4" t="s">
        <v>112</v>
      </c>
      <c r="B62" s="4">
        <v>0</v>
      </c>
      <c r="C62" s="4">
        <v>165</v>
      </c>
      <c r="D62" s="4">
        <v>24</v>
      </c>
      <c r="E62" s="4">
        <v>19.47</v>
      </c>
      <c r="F62" s="4">
        <v>62</v>
      </c>
      <c r="G62" s="4">
        <v>124</v>
      </c>
      <c r="H62" s="4">
        <v>97</v>
      </c>
      <c r="I62" s="4">
        <v>98</v>
      </c>
      <c r="J62" s="4">
        <v>0</v>
      </c>
      <c r="K62" s="4">
        <v>3</v>
      </c>
      <c r="L62" s="4">
        <v>6</v>
      </c>
      <c r="M62" s="4">
        <v>690</v>
      </c>
      <c r="O62" s="4">
        <v>100</v>
      </c>
      <c r="P62" s="4">
        <v>170</v>
      </c>
      <c r="Q62" s="4">
        <v>99</v>
      </c>
      <c r="R62" s="4">
        <v>98</v>
      </c>
      <c r="S62" s="4">
        <v>0</v>
      </c>
      <c r="T62" s="4">
        <v>2</v>
      </c>
      <c r="U62" s="4">
        <v>5</v>
      </c>
      <c r="V62" s="4">
        <v>780</v>
      </c>
      <c r="X62" s="4">
        <v>88</v>
      </c>
      <c r="Y62" s="4">
        <v>130</v>
      </c>
      <c r="Z62" s="4">
        <v>93</v>
      </c>
      <c r="AA62" s="4">
        <v>96</v>
      </c>
      <c r="AB62" s="4">
        <v>0</v>
      </c>
      <c r="AC62" s="4">
        <v>2</v>
      </c>
      <c r="AD62" s="4">
        <v>4</v>
      </c>
      <c r="AE62" s="4">
        <v>810</v>
      </c>
      <c r="AF62" s="7">
        <f t="shared" si="2"/>
        <v>668.87310000000002</v>
      </c>
      <c r="AG62" s="7">
        <f t="shared" si="0"/>
        <v>121.09920401941714</v>
      </c>
      <c r="AI62" s="7">
        <f t="shared" si="3"/>
        <v>671.99600000000009</v>
      </c>
      <c r="AK62" s="4">
        <f t="shared" si="1"/>
        <v>99.535279971904586</v>
      </c>
    </row>
    <row r="63" spans="1:37" x14ac:dyDescent="0.2">
      <c r="A63" s="4" t="s">
        <v>113</v>
      </c>
      <c r="B63" s="4">
        <v>0</v>
      </c>
      <c r="C63" s="4">
        <v>157</v>
      </c>
      <c r="D63" s="4">
        <v>26</v>
      </c>
      <c r="E63" s="4">
        <v>22.72</v>
      </c>
      <c r="F63" s="4">
        <v>91</v>
      </c>
      <c r="G63" s="4">
        <v>117</v>
      </c>
      <c r="H63" s="4">
        <v>99</v>
      </c>
      <c r="I63" s="4">
        <v>99</v>
      </c>
      <c r="J63" s="4">
        <v>2</v>
      </c>
      <c r="K63" s="4">
        <v>6</v>
      </c>
      <c r="L63" s="4">
        <v>9</v>
      </c>
      <c r="M63" s="4">
        <v>600</v>
      </c>
      <c r="O63" s="4">
        <v>84</v>
      </c>
      <c r="P63" s="4">
        <v>154</v>
      </c>
      <c r="Q63" s="4">
        <v>97</v>
      </c>
      <c r="R63" s="4">
        <v>99</v>
      </c>
      <c r="S63" s="4">
        <v>1</v>
      </c>
      <c r="T63" s="4">
        <v>4</v>
      </c>
      <c r="U63" s="4">
        <v>8</v>
      </c>
      <c r="V63" s="4">
        <v>660</v>
      </c>
      <c r="X63" s="4">
        <v>96</v>
      </c>
      <c r="Y63" s="4">
        <v>122</v>
      </c>
      <c r="Z63" s="4">
        <v>99</v>
      </c>
      <c r="AA63" s="4">
        <v>99</v>
      </c>
      <c r="AB63" s="4">
        <v>3</v>
      </c>
      <c r="AC63" s="4">
        <v>7</v>
      </c>
      <c r="AD63" s="4">
        <v>8</v>
      </c>
      <c r="AE63" s="4">
        <v>870</v>
      </c>
      <c r="AF63" s="7">
        <f t="shared" si="2"/>
        <v>644.27560000000005</v>
      </c>
      <c r="AG63" s="7">
        <f t="shared" si="0"/>
        <v>135.03537926936858</v>
      </c>
      <c r="AI63" s="7">
        <f t="shared" si="3"/>
        <v>634.83799999999997</v>
      </c>
      <c r="AK63" s="4">
        <f t="shared" si="1"/>
        <v>101.48661548300512</v>
      </c>
    </row>
    <row r="64" spans="1:37" x14ac:dyDescent="0.2">
      <c r="A64" s="4" t="s">
        <v>114</v>
      </c>
      <c r="B64" s="4">
        <v>1</v>
      </c>
      <c r="C64" s="4">
        <v>174</v>
      </c>
      <c r="D64" s="4">
        <v>31</v>
      </c>
      <c r="E64" s="4">
        <v>22.72</v>
      </c>
      <c r="F64" s="4">
        <v>86</v>
      </c>
      <c r="G64" s="4">
        <v>130</v>
      </c>
      <c r="H64" s="4">
        <v>98</v>
      </c>
      <c r="I64" s="4">
        <v>97</v>
      </c>
      <c r="J64" s="4">
        <v>0</v>
      </c>
      <c r="K64" s="4">
        <v>2</v>
      </c>
      <c r="L64" s="4">
        <v>3</v>
      </c>
      <c r="M64" s="4">
        <v>520</v>
      </c>
      <c r="O64" s="4">
        <v>97</v>
      </c>
      <c r="P64" s="4">
        <v>123</v>
      </c>
      <c r="Q64" s="4">
        <v>98</v>
      </c>
      <c r="R64" s="4">
        <v>98</v>
      </c>
      <c r="S64" s="4">
        <v>1</v>
      </c>
      <c r="T64" s="4">
        <v>2</v>
      </c>
      <c r="U64" s="4">
        <v>4</v>
      </c>
      <c r="V64" s="4">
        <v>627</v>
      </c>
      <c r="X64" s="4">
        <v>105</v>
      </c>
      <c r="Y64" s="4">
        <v>146</v>
      </c>
      <c r="Z64" s="4">
        <v>99</v>
      </c>
      <c r="AA64" s="4">
        <v>98</v>
      </c>
      <c r="AB64" s="4">
        <v>0</v>
      </c>
      <c r="AC64" s="4">
        <v>2</v>
      </c>
      <c r="AD64" s="4">
        <v>3</v>
      </c>
      <c r="AE64" s="4">
        <v>660</v>
      </c>
      <c r="AF64" s="7">
        <f t="shared" si="2"/>
        <v>672.42810000000009</v>
      </c>
      <c r="AG64" s="7">
        <f t="shared" si="0"/>
        <v>98.151757786445856</v>
      </c>
      <c r="AI64" s="7">
        <f t="shared" si="3"/>
        <v>712.69899999999996</v>
      </c>
      <c r="AK64" s="4">
        <f t="shared" si="1"/>
        <v>94.349522028233537</v>
      </c>
    </row>
    <row r="65" spans="1:37" x14ac:dyDescent="0.2">
      <c r="A65" s="4" t="s">
        <v>115</v>
      </c>
      <c r="B65" s="4">
        <v>0</v>
      </c>
      <c r="C65" s="4">
        <v>157</v>
      </c>
      <c r="D65" s="4">
        <v>33</v>
      </c>
      <c r="E65" s="4">
        <v>22.72</v>
      </c>
      <c r="F65" s="4">
        <v>62</v>
      </c>
      <c r="G65" s="4">
        <v>109</v>
      </c>
      <c r="H65" s="4">
        <v>99</v>
      </c>
      <c r="I65" s="4">
        <v>98</v>
      </c>
      <c r="J65" s="4">
        <v>0</v>
      </c>
      <c r="K65" s="4">
        <v>2</v>
      </c>
      <c r="L65" s="4">
        <v>2</v>
      </c>
      <c r="M65" s="4">
        <v>470</v>
      </c>
      <c r="O65" s="4">
        <v>97</v>
      </c>
      <c r="P65" s="4">
        <v>77</v>
      </c>
      <c r="Q65" s="4">
        <v>97</v>
      </c>
      <c r="R65" s="4">
        <v>99</v>
      </c>
      <c r="S65" s="4">
        <v>0</v>
      </c>
      <c r="T65" s="4">
        <v>2</v>
      </c>
      <c r="U65" s="4">
        <v>2</v>
      </c>
      <c r="V65" s="4">
        <v>540</v>
      </c>
      <c r="X65" s="4">
        <v>103</v>
      </c>
      <c r="Y65" s="4">
        <v>118</v>
      </c>
      <c r="Z65" s="4">
        <v>97</v>
      </c>
      <c r="AA65" s="4">
        <v>98</v>
      </c>
      <c r="AB65" s="4">
        <v>0</v>
      </c>
      <c r="AC65" s="4">
        <v>3</v>
      </c>
      <c r="AD65" s="4">
        <v>3</v>
      </c>
      <c r="AE65" s="4">
        <v>674</v>
      </c>
      <c r="AF65" s="7">
        <f t="shared" si="2"/>
        <v>615.75410000000011</v>
      </c>
      <c r="AG65" s="7">
        <f t="shared" si="0"/>
        <v>109.45927928047898</v>
      </c>
      <c r="AI65" s="7">
        <f t="shared" si="3"/>
        <v>606.25700000000006</v>
      </c>
      <c r="AK65" s="4">
        <f t="shared" si="1"/>
        <v>101.56651387118005</v>
      </c>
    </row>
    <row r="66" spans="1:37" x14ac:dyDescent="0.2">
      <c r="A66" s="4" t="s">
        <v>116</v>
      </c>
      <c r="B66" s="4">
        <v>0</v>
      </c>
      <c r="C66" s="4">
        <v>164</v>
      </c>
      <c r="D66" s="4">
        <v>49</v>
      </c>
      <c r="E66" s="4">
        <v>30</v>
      </c>
      <c r="F66" s="4">
        <v>64</v>
      </c>
      <c r="G66" s="4">
        <v>96</v>
      </c>
      <c r="H66" s="4">
        <v>98</v>
      </c>
      <c r="I66" s="4">
        <v>98</v>
      </c>
      <c r="J66" s="4">
        <v>5</v>
      </c>
      <c r="K66" s="4">
        <v>6</v>
      </c>
      <c r="L66" s="4">
        <v>7</v>
      </c>
      <c r="M66" s="4">
        <v>375</v>
      </c>
      <c r="O66" s="4">
        <v>67</v>
      </c>
      <c r="P66" s="4">
        <v>103</v>
      </c>
      <c r="Q66" s="4">
        <v>97</v>
      </c>
      <c r="R66" s="4">
        <v>98</v>
      </c>
      <c r="S66" s="4">
        <v>5</v>
      </c>
      <c r="T66" s="4">
        <v>7</v>
      </c>
      <c r="U66" s="4">
        <v>7</v>
      </c>
      <c r="V66" s="4">
        <v>507</v>
      </c>
      <c r="X66" s="4">
        <v>78</v>
      </c>
      <c r="Y66" s="4">
        <v>87</v>
      </c>
      <c r="Z66" s="4">
        <v>98</v>
      </c>
      <c r="AA66" s="4">
        <v>98</v>
      </c>
      <c r="AB66" s="4">
        <v>5</v>
      </c>
      <c r="AC66" s="4">
        <v>5</v>
      </c>
      <c r="AD66" s="4">
        <v>7</v>
      </c>
      <c r="AE66" s="4">
        <v>540</v>
      </c>
      <c r="AF66" s="7">
        <f t="shared" si="2"/>
        <v>527.80449999999996</v>
      </c>
      <c r="AG66" s="7">
        <f t="shared" si="0"/>
        <v>102.31060932599098</v>
      </c>
      <c r="AI66" s="7">
        <f t="shared" si="3"/>
        <v>564.02200000000005</v>
      </c>
      <c r="AK66" s="4">
        <f t="shared" si="1"/>
        <v>93.578707922740591</v>
      </c>
    </row>
    <row r="67" spans="1:37" x14ac:dyDescent="0.2">
      <c r="A67" s="4" t="s">
        <v>117</v>
      </c>
      <c r="B67" s="4">
        <v>1</v>
      </c>
      <c r="C67" s="4">
        <v>178</v>
      </c>
      <c r="D67" s="4">
        <v>23</v>
      </c>
      <c r="E67" s="4">
        <v>23.04</v>
      </c>
      <c r="F67" s="4">
        <v>100</v>
      </c>
      <c r="G67" s="4">
        <v>116</v>
      </c>
      <c r="H67" s="4">
        <v>98</v>
      </c>
      <c r="I67" s="4">
        <v>97</v>
      </c>
      <c r="J67" s="4">
        <v>1</v>
      </c>
      <c r="K67" s="4">
        <v>2</v>
      </c>
      <c r="L67" s="4">
        <v>4</v>
      </c>
      <c r="M67" s="4">
        <v>610</v>
      </c>
      <c r="O67" s="4">
        <v>88</v>
      </c>
      <c r="P67" s="4">
        <v>109</v>
      </c>
      <c r="Q67" s="4">
        <v>97</v>
      </c>
      <c r="R67" s="4">
        <v>98</v>
      </c>
      <c r="S67" s="4">
        <v>1</v>
      </c>
      <c r="T67" s="4">
        <v>2</v>
      </c>
      <c r="U67" s="4">
        <v>3</v>
      </c>
      <c r="V67" s="4">
        <v>675</v>
      </c>
      <c r="X67" s="4">
        <v>81</v>
      </c>
      <c r="Y67" s="4">
        <v>85</v>
      </c>
      <c r="Z67" s="4">
        <v>98</v>
      </c>
      <c r="AA67" s="4">
        <v>97</v>
      </c>
      <c r="AB67" s="4">
        <v>1</v>
      </c>
      <c r="AC67" s="4">
        <v>2</v>
      </c>
      <c r="AD67" s="4">
        <v>2</v>
      </c>
      <c r="AE67" s="4">
        <v>697</v>
      </c>
      <c r="AF67" s="7">
        <f t="shared" si="2"/>
        <v>704.84570000000008</v>
      </c>
      <c r="AG67" s="7">
        <f t="shared" si="0"/>
        <v>98.886891130924099</v>
      </c>
      <c r="AI67" s="7">
        <f t="shared" si="3"/>
        <v>678.67400000000009</v>
      </c>
      <c r="AK67" s="4">
        <f t="shared" si="1"/>
        <v>103.85629919519535</v>
      </c>
    </row>
    <row r="68" spans="1:37" x14ac:dyDescent="0.2">
      <c r="A68" s="4" t="s">
        <v>118</v>
      </c>
      <c r="B68" s="4">
        <v>0</v>
      </c>
      <c r="C68" s="4">
        <v>162</v>
      </c>
      <c r="D68" s="4">
        <v>23</v>
      </c>
      <c r="E68" s="4">
        <v>19.05</v>
      </c>
      <c r="F68" s="4">
        <v>119</v>
      </c>
      <c r="G68" s="4">
        <v>142</v>
      </c>
      <c r="H68" s="4">
        <v>97</v>
      </c>
      <c r="I68" s="4">
        <v>98</v>
      </c>
      <c r="J68" s="4">
        <v>2</v>
      </c>
      <c r="K68" s="4">
        <v>5</v>
      </c>
      <c r="L68" s="4">
        <v>6</v>
      </c>
      <c r="M68" s="4">
        <v>550</v>
      </c>
      <c r="O68" s="4">
        <v>118</v>
      </c>
      <c r="P68" s="4">
        <v>135</v>
      </c>
      <c r="Q68" s="4">
        <v>99</v>
      </c>
      <c r="R68" s="4">
        <v>99</v>
      </c>
      <c r="S68" s="4">
        <v>1</v>
      </c>
      <c r="T68" s="4">
        <v>6</v>
      </c>
      <c r="U68" s="4">
        <v>8</v>
      </c>
      <c r="V68" s="4">
        <v>600</v>
      </c>
      <c r="X68" s="4">
        <v>85</v>
      </c>
      <c r="Y68" s="4">
        <v>138</v>
      </c>
      <c r="Z68" s="4">
        <v>99</v>
      </c>
      <c r="AA68" s="4">
        <v>98</v>
      </c>
      <c r="AB68" s="4">
        <v>2</v>
      </c>
      <c r="AC68" s="4">
        <v>5</v>
      </c>
      <c r="AD68" s="4">
        <v>7</v>
      </c>
      <c r="AE68" s="4">
        <v>660</v>
      </c>
      <c r="AF68" s="7">
        <f t="shared" si="2"/>
        <v>675.40700000000004</v>
      </c>
      <c r="AG68" s="7">
        <f t="shared" ref="AG68:AG131" si="4">AE68/AF68*100</f>
        <v>97.71885692626816</v>
      </c>
      <c r="AI68" s="7">
        <f t="shared" ref="AI68:AI130" si="5" xml:space="preserve"> 356.658-(2.303*D68)+(36.648*B68)+(1.704*C68)+(1.365*Y68-X68)</f>
        <v>683.10700000000008</v>
      </c>
      <c r="AK68" s="4">
        <f t="shared" ref="AK68:AK131" si="6">AF68/AI68*100</f>
        <v>98.872797380205441</v>
      </c>
    </row>
    <row r="69" spans="1:37" x14ac:dyDescent="0.2">
      <c r="A69" s="4" t="s">
        <v>119</v>
      </c>
      <c r="B69" s="4">
        <v>0</v>
      </c>
      <c r="C69" s="4">
        <v>165</v>
      </c>
      <c r="D69" s="4">
        <v>38</v>
      </c>
      <c r="E69" s="4">
        <v>26.81</v>
      </c>
      <c r="F69" s="4">
        <v>98</v>
      </c>
      <c r="G69" s="4">
        <v>112</v>
      </c>
      <c r="H69" s="4">
        <v>97</v>
      </c>
      <c r="I69" s="4">
        <v>98</v>
      </c>
      <c r="J69" s="4">
        <v>0</v>
      </c>
      <c r="K69" s="4">
        <v>2</v>
      </c>
      <c r="L69" s="4">
        <v>3</v>
      </c>
      <c r="M69" s="4">
        <v>560</v>
      </c>
      <c r="O69" s="4">
        <v>121</v>
      </c>
      <c r="P69" s="4">
        <v>123</v>
      </c>
      <c r="Q69" s="4">
        <v>99</v>
      </c>
      <c r="R69" s="4">
        <v>99</v>
      </c>
      <c r="S69" s="4">
        <v>1</v>
      </c>
      <c r="T69" s="4">
        <v>4</v>
      </c>
      <c r="U69" s="4">
        <v>5</v>
      </c>
      <c r="V69" s="4">
        <v>580</v>
      </c>
      <c r="X69" s="4">
        <v>87</v>
      </c>
      <c r="Y69" s="4">
        <v>90</v>
      </c>
      <c r="Z69" s="4">
        <v>99</v>
      </c>
      <c r="AA69" s="4">
        <v>99</v>
      </c>
      <c r="AB69" s="4">
        <v>0</v>
      </c>
      <c r="AC69" s="4">
        <v>1</v>
      </c>
      <c r="AD69" s="4">
        <v>2</v>
      </c>
      <c r="AE69" s="4">
        <v>660</v>
      </c>
      <c r="AF69" s="7">
        <f t="shared" si="2"/>
        <v>577.53329999999994</v>
      </c>
      <c r="AG69" s="7">
        <f t="shared" si="4"/>
        <v>114.27912468423899</v>
      </c>
      <c r="AI69" s="7">
        <f t="shared" si="5"/>
        <v>586.154</v>
      </c>
      <c r="AK69" s="4">
        <f t="shared" si="6"/>
        <v>98.5292772889036</v>
      </c>
    </row>
    <row r="70" spans="1:37" x14ac:dyDescent="0.2">
      <c r="A70" s="4" t="s">
        <v>120</v>
      </c>
      <c r="B70" s="4">
        <v>0</v>
      </c>
      <c r="C70" s="4">
        <v>170</v>
      </c>
      <c r="D70" s="4">
        <v>24</v>
      </c>
      <c r="E70" s="4">
        <v>25.74</v>
      </c>
      <c r="F70" s="4">
        <v>109</v>
      </c>
      <c r="G70" s="4">
        <v>150</v>
      </c>
      <c r="H70" s="4">
        <v>99</v>
      </c>
      <c r="I70" s="4">
        <v>99</v>
      </c>
      <c r="J70" s="4">
        <v>2</v>
      </c>
      <c r="K70" s="4">
        <v>5</v>
      </c>
      <c r="L70" s="4">
        <v>7</v>
      </c>
      <c r="M70" s="4">
        <v>630</v>
      </c>
      <c r="O70" s="4">
        <v>106</v>
      </c>
      <c r="P70" s="4">
        <v>140</v>
      </c>
      <c r="Q70" s="4">
        <v>92</v>
      </c>
      <c r="R70" s="4">
        <v>99</v>
      </c>
      <c r="S70" s="4">
        <v>2</v>
      </c>
      <c r="T70" s="4">
        <v>4</v>
      </c>
      <c r="U70" s="4">
        <v>7</v>
      </c>
      <c r="V70" s="4">
        <v>632</v>
      </c>
      <c r="X70" s="4">
        <v>100</v>
      </c>
      <c r="Y70" s="4">
        <v>121</v>
      </c>
      <c r="Z70" s="4">
        <v>99</v>
      </c>
      <c r="AA70" s="4">
        <v>98</v>
      </c>
      <c r="AB70" s="4">
        <v>2</v>
      </c>
      <c r="AC70" s="4">
        <v>5</v>
      </c>
      <c r="AD70" s="4">
        <v>8</v>
      </c>
      <c r="AE70" s="4">
        <v>670</v>
      </c>
      <c r="AF70" s="7">
        <f t="shared" si="2"/>
        <v>638.33820000000003</v>
      </c>
      <c r="AG70" s="7">
        <f t="shared" si="4"/>
        <v>104.96003529163693</v>
      </c>
      <c r="AI70" s="7">
        <f t="shared" si="5"/>
        <v>656.23099999999999</v>
      </c>
      <c r="AK70" s="4">
        <f t="shared" si="6"/>
        <v>97.273399153651695</v>
      </c>
    </row>
    <row r="71" spans="1:37" x14ac:dyDescent="0.2">
      <c r="A71" s="4" t="s">
        <v>121</v>
      </c>
      <c r="B71" s="4">
        <v>0</v>
      </c>
      <c r="C71" s="4">
        <v>157</v>
      </c>
      <c r="D71" s="4">
        <v>22</v>
      </c>
      <c r="E71" s="4">
        <v>23.12</v>
      </c>
      <c r="F71" s="4">
        <v>72</v>
      </c>
      <c r="G71" s="4">
        <v>180</v>
      </c>
      <c r="H71" s="4">
        <v>94</v>
      </c>
      <c r="I71" s="4">
        <v>97</v>
      </c>
      <c r="J71" s="4">
        <v>2</v>
      </c>
      <c r="K71" s="4">
        <v>4</v>
      </c>
      <c r="L71" s="4">
        <v>7</v>
      </c>
      <c r="M71" s="4">
        <v>690</v>
      </c>
      <c r="O71" s="4">
        <v>119</v>
      </c>
      <c r="P71" s="4">
        <v>168</v>
      </c>
      <c r="Q71" s="4">
        <v>98</v>
      </c>
      <c r="R71" s="4">
        <v>98</v>
      </c>
      <c r="S71" s="4">
        <v>2</v>
      </c>
      <c r="T71" s="4">
        <v>5</v>
      </c>
      <c r="U71" s="4">
        <v>6</v>
      </c>
      <c r="V71" s="4">
        <v>680</v>
      </c>
      <c r="X71" s="4">
        <v>61</v>
      </c>
      <c r="Y71" s="4">
        <v>84</v>
      </c>
      <c r="Z71" s="4">
        <v>97</v>
      </c>
      <c r="AA71" s="4">
        <v>93</v>
      </c>
      <c r="AB71" s="4">
        <v>2</v>
      </c>
      <c r="AC71" s="4">
        <v>5</v>
      </c>
      <c r="AD71" s="4">
        <v>7</v>
      </c>
      <c r="AE71" s="4">
        <v>780</v>
      </c>
      <c r="AF71" s="7">
        <f t="shared" si="2"/>
        <v>660.14359999999988</v>
      </c>
      <c r="AG71" s="7">
        <f t="shared" si="4"/>
        <v>118.15611027661257</v>
      </c>
      <c r="AI71" s="7">
        <f t="shared" si="5"/>
        <v>627.17999999999995</v>
      </c>
      <c r="AK71" s="4">
        <f t="shared" si="6"/>
        <v>105.25584361746228</v>
      </c>
    </row>
    <row r="72" spans="1:37" x14ac:dyDescent="0.2">
      <c r="A72" s="4" t="s">
        <v>122</v>
      </c>
      <c r="B72" s="4">
        <v>0</v>
      </c>
      <c r="C72" s="4">
        <v>149</v>
      </c>
      <c r="D72" s="4">
        <v>27</v>
      </c>
      <c r="E72" s="4">
        <v>22.52</v>
      </c>
      <c r="F72" s="4">
        <v>98</v>
      </c>
      <c r="G72" s="4">
        <v>110</v>
      </c>
      <c r="H72" s="4">
        <v>98</v>
      </c>
      <c r="I72" s="4">
        <v>99</v>
      </c>
      <c r="J72" s="4">
        <v>3</v>
      </c>
      <c r="K72" s="4">
        <v>4</v>
      </c>
      <c r="L72" s="4">
        <v>6</v>
      </c>
      <c r="M72" s="4">
        <v>530</v>
      </c>
      <c r="O72" s="4">
        <v>92</v>
      </c>
      <c r="P72" s="4">
        <v>142</v>
      </c>
      <c r="Q72" s="4">
        <v>99</v>
      </c>
      <c r="R72" s="4">
        <v>92</v>
      </c>
      <c r="S72" s="4">
        <v>2</v>
      </c>
      <c r="T72" s="4">
        <v>3</v>
      </c>
      <c r="U72" s="4">
        <v>5</v>
      </c>
      <c r="V72" s="4">
        <v>540</v>
      </c>
      <c r="X72" s="4">
        <v>90</v>
      </c>
      <c r="Y72" s="4">
        <v>118</v>
      </c>
      <c r="Z72" s="4">
        <v>98</v>
      </c>
      <c r="AA72" s="4">
        <v>99</v>
      </c>
      <c r="AB72" s="4">
        <v>2</v>
      </c>
      <c r="AC72" s="4">
        <v>5</v>
      </c>
      <c r="AD72" s="4">
        <v>8</v>
      </c>
      <c r="AE72" s="4">
        <v>630</v>
      </c>
      <c r="AF72" s="7">
        <f t="shared" si="2"/>
        <v>640.96809999999994</v>
      </c>
      <c r="AG72" s="7">
        <f t="shared" si="4"/>
        <v>98.288822797889637</v>
      </c>
      <c r="AI72" s="7">
        <f t="shared" si="5"/>
        <v>619.44299999999998</v>
      </c>
      <c r="AK72" s="4">
        <f t="shared" si="6"/>
        <v>103.47491213880858</v>
      </c>
    </row>
    <row r="73" spans="1:37" x14ac:dyDescent="0.2">
      <c r="A73" s="4" t="s">
        <v>124</v>
      </c>
      <c r="B73" s="4">
        <v>1</v>
      </c>
      <c r="C73" s="4">
        <v>171</v>
      </c>
      <c r="D73" s="4">
        <v>32</v>
      </c>
      <c r="E73" s="4">
        <v>29.07</v>
      </c>
      <c r="F73" s="4">
        <v>96</v>
      </c>
      <c r="G73" s="4">
        <v>105</v>
      </c>
      <c r="H73" s="4">
        <v>96</v>
      </c>
      <c r="I73" s="4">
        <v>98</v>
      </c>
      <c r="J73" s="4">
        <v>0</v>
      </c>
      <c r="K73" s="4">
        <v>4</v>
      </c>
      <c r="L73" s="4">
        <v>6</v>
      </c>
      <c r="M73" s="4">
        <v>580</v>
      </c>
      <c r="O73" s="4">
        <v>100</v>
      </c>
      <c r="P73" s="4">
        <v>106</v>
      </c>
      <c r="Q73" s="4">
        <v>98</v>
      </c>
      <c r="R73" s="4">
        <v>97</v>
      </c>
      <c r="S73" s="4">
        <v>0</v>
      </c>
      <c r="T73" s="4">
        <v>5</v>
      </c>
      <c r="U73" s="4">
        <v>6</v>
      </c>
      <c r="V73" s="4">
        <v>720</v>
      </c>
      <c r="X73" s="4">
        <v>70</v>
      </c>
      <c r="Y73" s="4">
        <v>151</v>
      </c>
      <c r="Z73" s="4">
        <v>97</v>
      </c>
      <c r="AA73" s="4">
        <v>99</v>
      </c>
      <c r="AB73" s="4">
        <v>3</v>
      </c>
      <c r="AC73" s="4">
        <v>5</v>
      </c>
      <c r="AD73" s="4">
        <v>7</v>
      </c>
      <c r="AE73" s="4">
        <v>660</v>
      </c>
      <c r="AF73" s="7">
        <f t="shared" si="2"/>
        <v>637.56709999999998</v>
      </c>
      <c r="AG73" s="7">
        <f t="shared" si="4"/>
        <v>103.51851593346018</v>
      </c>
      <c r="AH73" s="7"/>
      <c r="AI73" s="7">
        <f t="shared" si="5"/>
        <v>747.10900000000004</v>
      </c>
      <c r="AK73" s="4">
        <f t="shared" si="6"/>
        <v>85.337895809045264</v>
      </c>
    </row>
    <row r="74" spans="1:37" x14ac:dyDescent="0.2">
      <c r="A74" s="4" t="s">
        <v>125</v>
      </c>
      <c r="B74" s="4">
        <v>0</v>
      </c>
      <c r="C74" s="4">
        <v>155</v>
      </c>
      <c r="D74" s="4">
        <v>39</v>
      </c>
      <c r="E74" s="4">
        <v>22.89</v>
      </c>
      <c r="F74" s="4">
        <v>120</v>
      </c>
      <c r="G74" s="4">
        <v>149</v>
      </c>
      <c r="H74" s="4">
        <v>98</v>
      </c>
      <c r="I74" s="4">
        <v>98</v>
      </c>
      <c r="J74" s="4">
        <v>2</v>
      </c>
      <c r="K74" s="4">
        <v>6</v>
      </c>
      <c r="L74" s="4">
        <v>6</v>
      </c>
      <c r="M74" s="4">
        <v>540</v>
      </c>
      <c r="O74" s="4">
        <v>112</v>
      </c>
      <c r="P74" s="4">
        <v>150</v>
      </c>
      <c r="Q74" s="4">
        <v>98</v>
      </c>
      <c r="R74" s="4">
        <v>98</v>
      </c>
      <c r="S74" s="4">
        <v>0</v>
      </c>
      <c r="T74" s="4">
        <v>4</v>
      </c>
      <c r="U74" s="4">
        <v>7</v>
      </c>
      <c r="V74" s="4">
        <v>595</v>
      </c>
      <c r="X74" s="4">
        <v>105</v>
      </c>
      <c r="Y74" s="4">
        <v>152</v>
      </c>
      <c r="Z74" s="4">
        <v>99</v>
      </c>
      <c r="AA74" s="4">
        <v>99</v>
      </c>
      <c r="AB74" s="4">
        <v>0</v>
      </c>
      <c r="AC74" s="4">
        <v>5</v>
      </c>
      <c r="AD74" s="4">
        <v>7</v>
      </c>
      <c r="AE74" s="4">
        <v>690</v>
      </c>
      <c r="AF74" s="7">
        <f t="shared" ref="AF74:AF149" si="7">890.46-(6.11*D74)+(0.0345*D74*D74)+(48.87*B74) -(4.87*E74)</f>
        <v>593.17020000000014</v>
      </c>
      <c r="AG74" s="7">
        <f t="shared" si="4"/>
        <v>116.32411742869076</v>
      </c>
      <c r="AH74" s="7"/>
      <c r="AI74" s="7">
        <f t="shared" si="5"/>
        <v>633.44100000000003</v>
      </c>
      <c r="AK74" s="4">
        <f t="shared" si="6"/>
        <v>93.642533400900803</v>
      </c>
    </row>
    <row r="75" spans="1:37" x14ac:dyDescent="0.2">
      <c r="A75" s="4" t="s">
        <v>126</v>
      </c>
      <c r="B75" s="4">
        <v>1</v>
      </c>
      <c r="C75" s="4">
        <v>178</v>
      </c>
      <c r="D75" s="4">
        <v>36</v>
      </c>
      <c r="E75" s="4">
        <v>25.88</v>
      </c>
      <c r="F75" s="4">
        <v>85</v>
      </c>
      <c r="G75" s="4">
        <v>139</v>
      </c>
      <c r="H75" s="4">
        <v>99</v>
      </c>
      <c r="I75" s="4">
        <v>99</v>
      </c>
      <c r="J75" s="4">
        <v>0</v>
      </c>
      <c r="K75" s="4">
        <v>1</v>
      </c>
      <c r="L75" s="4">
        <v>3</v>
      </c>
      <c r="M75" s="4">
        <v>720</v>
      </c>
      <c r="O75" s="4">
        <v>99</v>
      </c>
      <c r="P75" s="4">
        <v>103</v>
      </c>
      <c r="Q75" s="4">
        <v>98</v>
      </c>
      <c r="R75" s="4">
        <v>99</v>
      </c>
      <c r="S75" s="4">
        <v>0</v>
      </c>
      <c r="T75" s="4">
        <v>1</v>
      </c>
      <c r="U75" s="4">
        <v>2</v>
      </c>
      <c r="V75" s="4">
        <v>703</v>
      </c>
      <c r="X75" s="4">
        <v>97</v>
      </c>
      <c r="Y75" s="4">
        <v>124</v>
      </c>
      <c r="Z75" s="4">
        <v>96</v>
      </c>
      <c r="AA75" s="4">
        <v>96</v>
      </c>
      <c r="AB75" s="4">
        <v>0</v>
      </c>
      <c r="AC75" s="4">
        <v>1</v>
      </c>
      <c r="AD75" s="4">
        <v>1</v>
      </c>
      <c r="AE75" s="4">
        <v>720</v>
      </c>
      <c r="AF75" s="7">
        <f t="shared" si="7"/>
        <v>638.04639999999995</v>
      </c>
      <c r="AG75" s="7">
        <f t="shared" si="4"/>
        <v>112.84445770715108</v>
      </c>
      <c r="AH75" s="7"/>
      <c r="AI75" s="7">
        <f t="shared" si="5"/>
        <v>685.97</v>
      </c>
      <c r="AK75" s="4">
        <f t="shared" si="6"/>
        <v>93.013746956863997</v>
      </c>
    </row>
    <row r="76" spans="1:37" x14ac:dyDescent="0.2">
      <c r="A76" s="4" t="s">
        <v>131</v>
      </c>
      <c r="B76" s="4">
        <v>0</v>
      </c>
      <c r="C76" s="4">
        <v>162</v>
      </c>
      <c r="D76" s="4">
        <v>38</v>
      </c>
      <c r="E76" s="4">
        <v>22.86</v>
      </c>
      <c r="F76" s="4">
        <v>103</v>
      </c>
      <c r="G76" s="4">
        <v>177</v>
      </c>
      <c r="H76" s="4">
        <v>96</v>
      </c>
      <c r="I76" s="4">
        <v>97</v>
      </c>
      <c r="J76" s="4">
        <v>2</v>
      </c>
      <c r="K76" s="4">
        <v>4</v>
      </c>
      <c r="L76" s="4">
        <v>6</v>
      </c>
      <c r="M76" s="4">
        <v>600</v>
      </c>
      <c r="O76" s="4">
        <v>110</v>
      </c>
      <c r="P76" s="4">
        <v>172</v>
      </c>
      <c r="Q76" s="4">
        <v>96</v>
      </c>
      <c r="R76" s="4">
        <v>98</v>
      </c>
      <c r="S76" s="4">
        <v>2</v>
      </c>
      <c r="T76" s="4">
        <v>3</v>
      </c>
      <c r="U76" s="4">
        <v>6</v>
      </c>
      <c r="V76" s="4">
        <v>640</v>
      </c>
      <c r="X76" s="4">
        <v>104</v>
      </c>
      <c r="Y76" s="4">
        <v>163</v>
      </c>
      <c r="Z76" s="4">
        <v>97</v>
      </c>
      <c r="AA76" s="4">
        <v>98</v>
      </c>
      <c r="AB76" s="4">
        <v>1</v>
      </c>
      <c r="AC76" s="4">
        <v>5</v>
      </c>
      <c r="AD76" s="4">
        <v>7</v>
      </c>
      <c r="AE76" s="4">
        <v>705</v>
      </c>
      <c r="AF76" s="7">
        <f t="shared" si="7"/>
        <v>596.76979999999992</v>
      </c>
      <c r="AG76" s="7">
        <f t="shared" si="4"/>
        <v>118.1360048715602</v>
      </c>
      <c r="AI76" s="7">
        <f t="shared" si="5"/>
        <v>663.68700000000001</v>
      </c>
      <c r="AK76" s="4">
        <f t="shared" si="6"/>
        <v>89.917355620947816</v>
      </c>
    </row>
    <row r="77" spans="1:37" x14ac:dyDescent="0.2">
      <c r="A77" s="4" t="s">
        <v>132</v>
      </c>
      <c r="B77" s="4">
        <v>0</v>
      </c>
      <c r="C77" s="4">
        <v>168</v>
      </c>
      <c r="D77" s="4">
        <v>27</v>
      </c>
      <c r="E77" s="4">
        <v>21.97</v>
      </c>
      <c r="F77" s="4">
        <v>104</v>
      </c>
      <c r="G77" s="4">
        <v>145</v>
      </c>
      <c r="H77" s="4">
        <v>98</v>
      </c>
      <c r="I77" s="4">
        <v>99</v>
      </c>
      <c r="J77" s="4">
        <v>0</v>
      </c>
      <c r="K77" s="4">
        <v>1</v>
      </c>
      <c r="L77" s="4">
        <v>3</v>
      </c>
      <c r="M77" s="4">
        <v>580</v>
      </c>
      <c r="O77" s="4">
        <v>90</v>
      </c>
      <c r="P77" s="4">
        <v>144</v>
      </c>
      <c r="Q77" s="4">
        <v>97</v>
      </c>
      <c r="R77" s="4">
        <v>97</v>
      </c>
      <c r="S77" s="4">
        <v>0</v>
      </c>
      <c r="T77" s="4">
        <v>2</v>
      </c>
      <c r="U77" s="4">
        <v>4</v>
      </c>
      <c r="V77" s="4">
        <v>644</v>
      </c>
      <c r="X77" s="4">
        <v>127</v>
      </c>
      <c r="Y77" s="4">
        <v>141</v>
      </c>
      <c r="Z77" s="4">
        <v>97</v>
      </c>
      <c r="AA77" s="4">
        <v>98</v>
      </c>
      <c r="AB77" s="4">
        <v>0</v>
      </c>
      <c r="AC77" s="4">
        <v>2</v>
      </c>
      <c r="AD77" s="4">
        <v>4</v>
      </c>
      <c r="AE77" s="4">
        <v>750</v>
      </c>
      <c r="AF77" s="7">
        <f t="shared" si="7"/>
        <v>643.64660000000003</v>
      </c>
      <c r="AG77" s="7">
        <f t="shared" si="4"/>
        <v>116.52357054321423</v>
      </c>
      <c r="AI77" s="7">
        <f t="shared" si="5"/>
        <v>646.21400000000006</v>
      </c>
      <c r="AK77" s="4">
        <f t="shared" si="6"/>
        <v>99.602701272333931</v>
      </c>
    </row>
    <row r="78" spans="1:37" x14ac:dyDescent="0.2">
      <c r="A78" s="4" t="s">
        <v>133</v>
      </c>
      <c r="B78" s="4">
        <v>0</v>
      </c>
      <c r="C78" s="4">
        <v>162</v>
      </c>
      <c r="D78" s="4">
        <v>63</v>
      </c>
      <c r="E78" s="4">
        <v>24.77</v>
      </c>
      <c r="F78" s="4">
        <v>95</v>
      </c>
      <c r="G78" s="4">
        <v>117</v>
      </c>
      <c r="H78" s="4">
        <v>98</v>
      </c>
      <c r="I78" s="4">
        <v>98</v>
      </c>
      <c r="J78" s="4">
        <v>0</v>
      </c>
      <c r="K78" s="4">
        <v>5</v>
      </c>
      <c r="L78" s="4">
        <v>6</v>
      </c>
      <c r="M78" s="4">
        <v>410</v>
      </c>
      <c r="O78" s="4">
        <v>92</v>
      </c>
      <c r="P78" s="4">
        <v>110</v>
      </c>
      <c r="Q78" s="4">
        <v>99</v>
      </c>
      <c r="R78" s="4">
        <v>98</v>
      </c>
      <c r="S78" s="4">
        <v>0</v>
      </c>
      <c r="T78" s="4">
        <v>5</v>
      </c>
      <c r="U78" s="4">
        <v>7</v>
      </c>
      <c r="V78" s="4">
        <v>520</v>
      </c>
      <c r="X78" s="4">
        <v>97</v>
      </c>
      <c r="Y78" s="4">
        <v>110</v>
      </c>
      <c r="Z78" s="4">
        <v>99</v>
      </c>
      <c r="AA78" s="4">
        <v>99</v>
      </c>
      <c r="AB78" s="4">
        <v>2</v>
      </c>
      <c r="AC78" s="4">
        <v>4</v>
      </c>
      <c r="AD78" s="4">
        <v>6</v>
      </c>
      <c r="AE78" s="4">
        <v>420</v>
      </c>
      <c r="AF78" s="7">
        <f t="shared" si="7"/>
        <v>521.8306</v>
      </c>
      <c r="AG78" s="7">
        <f t="shared" si="4"/>
        <v>80.485889482142298</v>
      </c>
      <c r="AI78" s="7">
        <f t="shared" si="5"/>
        <v>540.76700000000005</v>
      </c>
      <c r="AK78" s="4">
        <f t="shared" si="6"/>
        <v>96.498233065257295</v>
      </c>
    </row>
    <row r="79" spans="1:37" x14ac:dyDescent="0.2">
      <c r="A79" s="4" t="s">
        <v>135</v>
      </c>
      <c r="B79" s="4">
        <v>0</v>
      </c>
      <c r="C79" s="4">
        <v>167</v>
      </c>
      <c r="D79" s="4">
        <v>27</v>
      </c>
      <c r="E79" s="4">
        <v>22.59</v>
      </c>
      <c r="F79" s="4">
        <v>112</v>
      </c>
      <c r="G79" s="4">
        <v>130</v>
      </c>
      <c r="H79" s="4">
        <v>98</v>
      </c>
      <c r="I79" s="4">
        <v>98</v>
      </c>
      <c r="J79" s="4">
        <v>1</v>
      </c>
      <c r="K79" s="4">
        <v>2</v>
      </c>
      <c r="L79" s="4">
        <v>6</v>
      </c>
      <c r="M79" s="4">
        <v>560</v>
      </c>
      <c r="O79" s="4">
        <v>101</v>
      </c>
      <c r="P79" s="4">
        <v>138</v>
      </c>
      <c r="Q79" s="4">
        <v>0</v>
      </c>
      <c r="R79" s="4">
        <v>1</v>
      </c>
      <c r="S79" s="4">
        <v>4</v>
      </c>
      <c r="T79" s="4">
        <v>99</v>
      </c>
      <c r="U79" s="4">
        <v>98</v>
      </c>
      <c r="V79" s="4">
        <v>680</v>
      </c>
      <c r="X79" s="4">
        <v>76</v>
      </c>
      <c r="Y79" s="4">
        <v>132</v>
      </c>
      <c r="Z79" s="4">
        <v>99</v>
      </c>
      <c r="AA79" s="4">
        <v>99</v>
      </c>
      <c r="AB79" s="4">
        <v>0</v>
      </c>
      <c r="AC79" s="4">
        <v>2</v>
      </c>
      <c r="AD79" s="4">
        <v>4</v>
      </c>
      <c r="AE79" s="4">
        <v>600</v>
      </c>
      <c r="AF79" s="7">
        <f t="shared" si="7"/>
        <v>640.62720000000002</v>
      </c>
      <c r="AG79" s="7">
        <f t="shared" si="4"/>
        <v>93.658214949349642</v>
      </c>
      <c r="AI79" s="7">
        <f t="shared" si="5"/>
        <v>683.22500000000014</v>
      </c>
      <c r="AK79" s="4">
        <f t="shared" si="6"/>
        <v>93.765187163818638</v>
      </c>
    </row>
    <row r="80" spans="1:37" x14ac:dyDescent="0.2">
      <c r="A80" s="4" t="s">
        <v>136</v>
      </c>
      <c r="B80" s="4">
        <v>0</v>
      </c>
      <c r="C80" s="4">
        <v>171</v>
      </c>
      <c r="D80" s="4">
        <v>29</v>
      </c>
      <c r="E80" s="4">
        <v>34.880000000000003</v>
      </c>
      <c r="F80" s="4">
        <v>135</v>
      </c>
      <c r="G80" s="4">
        <v>167</v>
      </c>
      <c r="H80" s="4">
        <v>99</v>
      </c>
      <c r="I80" s="4">
        <v>99</v>
      </c>
      <c r="J80" s="4">
        <v>2</v>
      </c>
      <c r="K80" s="4">
        <v>4</v>
      </c>
      <c r="L80" s="4">
        <v>6</v>
      </c>
      <c r="M80" s="4">
        <v>565</v>
      </c>
      <c r="O80" s="4">
        <v>124</v>
      </c>
      <c r="P80" s="4">
        <v>167</v>
      </c>
      <c r="Q80" s="4">
        <v>97</v>
      </c>
      <c r="R80" s="4">
        <v>95</v>
      </c>
      <c r="S80" s="4">
        <v>2</v>
      </c>
      <c r="T80" s="4">
        <v>6</v>
      </c>
      <c r="U80" s="4">
        <v>7</v>
      </c>
      <c r="V80" s="4">
        <v>650</v>
      </c>
      <c r="X80" s="4">
        <v>105</v>
      </c>
      <c r="Y80" s="4">
        <v>169</v>
      </c>
      <c r="Z80" s="4">
        <v>99</v>
      </c>
      <c r="AA80" s="4">
        <v>99</v>
      </c>
      <c r="AB80" s="4">
        <v>1</v>
      </c>
      <c r="AC80" s="4">
        <v>6</v>
      </c>
      <c r="AD80" s="4">
        <v>7</v>
      </c>
      <c r="AE80" s="4">
        <v>585</v>
      </c>
      <c r="AF80" s="7">
        <f t="shared" si="7"/>
        <v>572.41889999999989</v>
      </c>
      <c r="AG80" s="7">
        <f t="shared" si="4"/>
        <v>102.19788340322098</v>
      </c>
      <c r="AI80" s="7">
        <f t="shared" si="5"/>
        <v>706.94</v>
      </c>
      <c r="AK80" s="4">
        <f t="shared" si="6"/>
        <v>80.971355419130319</v>
      </c>
    </row>
    <row r="81" spans="1:37" x14ac:dyDescent="0.2">
      <c r="A81" s="4" t="s">
        <v>139</v>
      </c>
      <c r="B81" s="4">
        <v>1</v>
      </c>
      <c r="C81" s="4">
        <v>180</v>
      </c>
      <c r="D81" s="4">
        <v>35</v>
      </c>
      <c r="E81" s="4">
        <v>28.4</v>
      </c>
      <c r="F81" s="4">
        <v>81</v>
      </c>
      <c r="G81" s="4">
        <v>165</v>
      </c>
      <c r="H81" s="4">
        <v>98</v>
      </c>
      <c r="I81" s="4">
        <v>98</v>
      </c>
      <c r="J81" s="4">
        <v>2</v>
      </c>
      <c r="K81" s="4">
        <v>5</v>
      </c>
      <c r="L81" s="4">
        <v>7</v>
      </c>
      <c r="M81" s="4">
        <v>680</v>
      </c>
      <c r="O81" s="4">
        <v>96</v>
      </c>
      <c r="P81" s="4">
        <v>142</v>
      </c>
      <c r="Q81" s="4">
        <v>96</v>
      </c>
      <c r="R81" s="4">
        <v>97</v>
      </c>
      <c r="S81" s="4">
        <v>1</v>
      </c>
      <c r="T81" s="4">
        <v>4</v>
      </c>
      <c r="U81" s="4">
        <v>5</v>
      </c>
      <c r="V81" s="4">
        <v>720</v>
      </c>
      <c r="X81" s="4">
        <v>85</v>
      </c>
      <c r="Y81" s="4">
        <v>84</v>
      </c>
      <c r="Z81" s="4">
        <v>97</v>
      </c>
      <c r="AA81" s="4">
        <v>95</v>
      </c>
      <c r="AB81" s="4">
        <v>1</v>
      </c>
      <c r="AC81" s="4">
        <v>3</v>
      </c>
      <c r="AD81" s="4">
        <v>4</v>
      </c>
      <c r="AE81" s="4">
        <v>720</v>
      </c>
      <c r="AF81" s="7">
        <f t="shared" si="7"/>
        <v>629.43450000000007</v>
      </c>
      <c r="AG81" s="7">
        <f t="shared" si="4"/>
        <v>114.38839148473747</v>
      </c>
      <c r="AI81" s="7">
        <f t="shared" si="5"/>
        <v>649.08100000000002</v>
      </c>
      <c r="AK81" s="4">
        <f t="shared" si="6"/>
        <v>96.973182083592036</v>
      </c>
    </row>
    <row r="82" spans="1:37" x14ac:dyDescent="0.2">
      <c r="A82" s="4" t="s">
        <v>141</v>
      </c>
      <c r="B82" s="4">
        <v>0</v>
      </c>
      <c r="C82" s="4">
        <v>165</v>
      </c>
      <c r="D82" s="4">
        <v>30</v>
      </c>
      <c r="E82" s="4">
        <v>21.67</v>
      </c>
      <c r="F82" s="4">
        <v>134</v>
      </c>
      <c r="G82" s="4">
        <v>185</v>
      </c>
      <c r="H82" s="4">
        <v>99</v>
      </c>
      <c r="I82" s="4">
        <v>98</v>
      </c>
      <c r="J82" s="4">
        <v>2</v>
      </c>
      <c r="K82" s="4">
        <v>5</v>
      </c>
      <c r="L82" s="4">
        <v>8</v>
      </c>
      <c r="M82" s="4">
        <v>650</v>
      </c>
      <c r="O82" s="4">
        <v>78</v>
      </c>
      <c r="P82" s="4">
        <v>170</v>
      </c>
      <c r="Q82" s="4">
        <v>98</v>
      </c>
      <c r="R82" s="4">
        <v>98</v>
      </c>
      <c r="S82" s="4">
        <v>5</v>
      </c>
      <c r="T82" s="4">
        <v>6</v>
      </c>
      <c r="U82" s="4">
        <v>7</v>
      </c>
      <c r="V82" s="4">
        <v>730</v>
      </c>
      <c r="X82" s="4">
        <v>83</v>
      </c>
      <c r="Y82" s="4">
        <v>74</v>
      </c>
      <c r="Z82" s="4">
        <v>98</v>
      </c>
      <c r="AA82" s="4">
        <v>99</v>
      </c>
      <c r="AB82" s="4">
        <v>5</v>
      </c>
      <c r="AC82" s="4">
        <v>8</v>
      </c>
      <c r="AD82" s="4">
        <v>8</v>
      </c>
      <c r="AE82" s="4">
        <v>690</v>
      </c>
      <c r="AF82" s="7">
        <f t="shared" si="7"/>
        <v>632.6771</v>
      </c>
      <c r="AG82" s="7">
        <f t="shared" si="4"/>
        <v>109.06037218669682</v>
      </c>
      <c r="AI82" s="7">
        <f t="shared" si="5"/>
        <v>586.73799999999994</v>
      </c>
      <c r="AK82" s="4">
        <f t="shared" si="6"/>
        <v>107.82957640377819</v>
      </c>
    </row>
    <row r="83" spans="1:37" x14ac:dyDescent="0.2">
      <c r="A83" s="4" t="s">
        <v>142</v>
      </c>
      <c r="B83" s="4">
        <v>1</v>
      </c>
      <c r="C83" s="4">
        <v>170</v>
      </c>
      <c r="D83" s="4">
        <v>24</v>
      </c>
      <c r="E83" s="4">
        <v>26.99</v>
      </c>
      <c r="F83" s="4">
        <v>117</v>
      </c>
      <c r="G83" s="4">
        <v>169</v>
      </c>
      <c r="H83" s="4">
        <v>95</v>
      </c>
      <c r="I83" s="4">
        <v>96</v>
      </c>
      <c r="J83" s="4">
        <v>3</v>
      </c>
      <c r="K83" s="4">
        <v>6</v>
      </c>
      <c r="L83" s="4">
        <v>7</v>
      </c>
      <c r="M83" s="4">
        <v>630</v>
      </c>
      <c r="O83" s="4">
        <v>114</v>
      </c>
      <c r="P83" s="4">
        <v>168</v>
      </c>
      <c r="Q83" s="4">
        <v>97</v>
      </c>
      <c r="R83" s="4">
        <v>95</v>
      </c>
      <c r="S83" s="4">
        <v>0</v>
      </c>
      <c r="T83" s="4">
        <v>2</v>
      </c>
      <c r="U83" s="4">
        <v>5</v>
      </c>
      <c r="V83" s="4">
        <v>707</v>
      </c>
      <c r="X83" s="4">
        <v>79</v>
      </c>
      <c r="Y83" s="4">
        <v>157</v>
      </c>
      <c r="Z83" s="4">
        <v>97</v>
      </c>
      <c r="AA83" s="4">
        <v>97</v>
      </c>
      <c r="AB83" s="4">
        <v>0</v>
      </c>
      <c r="AC83" s="4">
        <v>2</v>
      </c>
      <c r="AD83" s="4">
        <v>4</v>
      </c>
      <c r="AE83" s="4">
        <v>720</v>
      </c>
      <c r="AF83" s="7">
        <f t="shared" si="7"/>
        <v>681.12070000000006</v>
      </c>
      <c r="AG83" s="7">
        <f t="shared" si="4"/>
        <v>105.70813660486313</v>
      </c>
      <c r="AI83" s="7">
        <f t="shared" si="5"/>
        <v>763.01900000000001</v>
      </c>
      <c r="AK83" s="4">
        <f t="shared" si="6"/>
        <v>89.266545131903669</v>
      </c>
    </row>
    <row r="84" spans="1:37" x14ac:dyDescent="0.2">
      <c r="A84" s="4" t="s">
        <v>145</v>
      </c>
      <c r="B84" s="4">
        <v>0</v>
      </c>
      <c r="C84" s="4">
        <v>156</v>
      </c>
      <c r="D84" s="4">
        <v>36</v>
      </c>
      <c r="E84" s="4">
        <v>34.93</v>
      </c>
      <c r="F84" s="4">
        <v>104</v>
      </c>
      <c r="G84" s="4">
        <v>154</v>
      </c>
      <c r="H84" s="4">
        <v>99</v>
      </c>
      <c r="I84" s="4">
        <v>99</v>
      </c>
      <c r="J84" s="4">
        <v>5</v>
      </c>
      <c r="K84" s="4">
        <v>8</v>
      </c>
      <c r="L84" s="4">
        <v>9</v>
      </c>
      <c r="M84" s="4">
        <v>560</v>
      </c>
      <c r="O84" s="4">
        <v>90</v>
      </c>
      <c r="P84" s="4">
        <v>89</v>
      </c>
      <c r="Q84" s="4">
        <v>99</v>
      </c>
      <c r="R84" s="4">
        <v>98</v>
      </c>
      <c r="S84" s="4">
        <v>4</v>
      </c>
      <c r="T84" s="4">
        <v>6</v>
      </c>
      <c r="U84" s="4">
        <v>8</v>
      </c>
      <c r="V84" s="4">
        <v>607</v>
      </c>
      <c r="X84" s="4">
        <v>87</v>
      </c>
      <c r="Y84" s="4">
        <v>118</v>
      </c>
      <c r="Z84" s="4">
        <v>99</v>
      </c>
      <c r="AA84" s="4">
        <v>99</v>
      </c>
      <c r="AB84" s="4">
        <v>3</v>
      </c>
      <c r="AC84" s="4">
        <v>5</v>
      </c>
      <c r="AD84" s="4">
        <v>7</v>
      </c>
      <c r="AE84" s="4">
        <v>606</v>
      </c>
      <c r="AF84" s="7">
        <f t="shared" si="7"/>
        <v>545.10289999999998</v>
      </c>
      <c r="AG84" s="7">
        <f t="shared" si="4"/>
        <v>111.17167052312509</v>
      </c>
      <c r="AI84" s="7">
        <f t="shared" si="5"/>
        <v>613.64400000000001</v>
      </c>
      <c r="AK84" s="4">
        <f t="shared" si="6"/>
        <v>88.830478257752048</v>
      </c>
    </row>
    <row r="85" spans="1:37" x14ac:dyDescent="0.2">
      <c r="A85" s="4" t="s">
        <v>146</v>
      </c>
      <c r="B85" s="4">
        <v>0</v>
      </c>
      <c r="C85" s="4">
        <v>171</v>
      </c>
      <c r="D85" s="4">
        <v>41</v>
      </c>
      <c r="E85" s="4">
        <v>26.33</v>
      </c>
      <c r="F85" s="4">
        <v>92</v>
      </c>
      <c r="G85" s="4">
        <v>122</v>
      </c>
      <c r="H85" s="4">
        <v>98</v>
      </c>
      <c r="I85" s="4">
        <v>98</v>
      </c>
      <c r="J85" s="4">
        <v>0</v>
      </c>
      <c r="K85" s="4">
        <v>1</v>
      </c>
      <c r="L85" s="4">
        <v>3</v>
      </c>
      <c r="M85" s="4">
        <v>600</v>
      </c>
      <c r="O85" s="4">
        <v>121</v>
      </c>
      <c r="P85" s="4">
        <v>120</v>
      </c>
      <c r="Q85" s="4">
        <v>97</v>
      </c>
      <c r="R85" s="4">
        <v>98</v>
      </c>
      <c r="S85" s="4">
        <v>0</v>
      </c>
      <c r="T85" s="4">
        <v>1</v>
      </c>
      <c r="U85" s="4">
        <v>2</v>
      </c>
      <c r="V85" s="4">
        <v>645</v>
      </c>
      <c r="X85" s="4">
        <v>73</v>
      </c>
      <c r="Y85" s="4">
        <v>105</v>
      </c>
      <c r="Z85" s="4">
        <v>98</v>
      </c>
      <c r="AA85" s="4">
        <v>98</v>
      </c>
      <c r="AB85" s="4">
        <v>0</v>
      </c>
      <c r="AC85" s="4">
        <v>1</v>
      </c>
      <c r="AD85" s="4">
        <v>2</v>
      </c>
      <c r="AE85" s="4">
        <v>690</v>
      </c>
      <c r="AF85" s="7">
        <f t="shared" si="7"/>
        <v>569.7174</v>
      </c>
      <c r="AG85" s="7">
        <f t="shared" si="4"/>
        <v>121.11267796981451</v>
      </c>
      <c r="AI85" s="7">
        <f t="shared" si="5"/>
        <v>623.94399999999996</v>
      </c>
      <c r="AK85" s="4">
        <f t="shared" si="6"/>
        <v>91.309059787416828</v>
      </c>
    </row>
    <row r="86" spans="1:37" x14ac:dyDescent="0.2">
      <c r="A86" s="4" t="s">
        <v>149</v>
      </c>
      <c r="B86" s="4">
        <v>1</v>
      </c>
      <c r="C86" s="4">
        <v>167</v>
      </c>
      <c r="D86" s="4">
        <v>33</v>
      </c>
      <c r="E86" s="4">
        <v>25.1</v>
      </c>
      <c r="F86" s="4">
        <v>108</v>
      </c>
      <c r="G86" s="4">
        <v>147</v>
      </c>
      <c r="H86" s="4">
        <v>99</v>
      </c>
      <c r="I86" s="4">
        <v>96</v>
      </c>
      <c r="J86" s="4">
        <v>2</v>
      </c>
      <c r="K86" s="4">
        <v>4</v>
      </c>
      <c r="L86" s="4">
        <v>5</v>
      </c>
      <c r="M86" s="4">
        <v>670</v>
      </c>
      <c r="O86" s="4">
        <v>102</v>
      </c>
      <c r="P86" s="4">
        <v>139</v>
      </c>
      <c r="Q86" s="4">
        <v>98</v>
      </c>
      <c r="R86" s="4">
        <v>95</v>
      </c>
      <c r="S86" s="4">
        <v>2</v>
      </c>
      <c r="T86" s="4">
        <v>3</v>
      </c>
      <c r="U86" s="4">
        <v>5</v>
      </c>
      <c r="V86" s="4">
        <v>720</v>
      </c>
      <c r="X86" s="4">
        <v>96</v>
      </c>
      <c r="Y86" s="4">
        <v>132</v>
      </c>
      <c r="Z86" s="4">
        <v>98</v>
      </c>
      <c r="AA86" s="4">
        <v>97</v>
      </c>
      <c r="AB86" s="4">
        <v>0</v>
      </c>
      <c r="AC86" s="4">
        <v>3</v>
      </c>
      <c r="AD86" s="4">
        <v>4</v>
      </c>
      <c r="AE86" s="4">
        <v>726</v>
      </c>
      <c r="AF86" s="7">
        <f t="shared" si="7"/>
        <v>653.03350000000012</v>
      </c>
      <c r="AG86" s="7">
        <f t="shared" si="4"/>
        <v>111.17346966120418</v>
      </c>
      <c r="AI86" s="7">
        <f t="shared" si="5"/>
        <v>686.05500000000006</v>
      </c>
      <c r="AK86" s="4">
        <f t="shared" si="6"/>
        <v>95.186756163864416</v>
      </c>
    </row>
    <row r="87" spans="1:37" x14ac:dyDescent="0.2">
      <c r="A87" s="4" t="s">
        <v>150</v>
      </c>
      <c r="B87" s="4">
        <v>0</v>
      </c>
      <c r="C87" s="4">
        <v>167</v>
      </c>
      <c r="D87" s="4">
        <v>25</v>
      </c>
      <c r="E87" s="4">
        <v>25.1</v>
      </c>
      <c r="F87" s="4">
        <v>117</v>
      </c>
      <c r="G87" s="4">
        <v>180</v>
      </c>
      <c r="H87" s="4">
        <v>98</v>
      </c>
      <c r="I87" s="4">
        <v>98</v>
      </c>
      <c r="J87" s="4">
        <v>0</v>
      </c>
      <c r="K87" s="4">
        <v>2</v>
      </c>
      <c r="L87" s="4">
        <v>4</v>
      </c>
      <c r="M87" s="4">
        <v>590</v>
      </c>
      <c r="O87" s="4">
        <v>94</v>
      </c>
      <c r="P87" s="4">
        <v>94</v>
      </c>
      <c r="Q87" s="4">
        <v>89</v>
      </c>
      <c r="R87" s="4">
        <v>98</v>
      </c>
      <c r="S87" s="4">
        <v>0</v>
      </c>
      <c r="T87" s="4">
        <v>2</v>
      </c>
      <c r="U87" s="4">
        <v>4</v>
      </c>
      <c r="V87" s="4">
        <v>651</v>
      </c>
      <c r="X87" s="4">
        <v>86</v>
      </c>
      <c r="Y87" s="4">
        <v>136</v>
      </c>
      <c r="Z87" s="4">
        <v>99</v>
      </c>
      <c r="AA87" s="4">
        <v>97</v>
      </c>
      <c r="AB87" s="4">
        <v>0</v>
      </c>
      <c r="AC87" s="4">
        <v>3</v>
      </c>
      <c r="AD87" s="4">
        <v>5</v>
      </c>
      <c r="AE87" s="4">
        <v>716</v>
      </c>
      <c r="AF87" s="7">
        <f t="shared" si="7"/>
        <v>637.03550000000007</v>
      </c>
      <c r="AG87" s="7">
        <f t="shared" si="4"/>
        <v>112.39562002431573</v>
      </c>
      <c r="AI87" s="7">
        <f t="shared" si="5"/>
        <v>683.29100000000005</v>
      </c>
      <c r="AK87" s="4">
        <f t="shared" si="6"/>
        <v>93.230483059194398</v>
      </c>
    </row>
    <row r="88" spans="1:37" x14ac:dyDescent="0.2">
      <c r="A88" s="4" t="s">
        <v>151</v>
      </c>
      <c r="B88" s="4">
        <v>1</v>
      </c>
      <c r="C88" s="4">
        <v>180</v>
      </c>
      <c r="D88" s="4">
        <v>24</v>
      </c>
      <c r="E88" s="4">
        <v>27.16</v>
      </c>
      <c r="F88" s="4">
        <v>104</v>
      </c>
      <c r="G88" s="4">
        <v>180</v>
      </c>
      <c r="H88" s="4">
        <v>96</v>
      </c>
      <c r="I88" s="4">
        <v>93</v>
      </c>
      <c r="J88" s="4">
        <v>3</v>
      </c>
      <c r="K88" s="4">
        <v>5</v>
      </c>
      <c r="L88" s="4">
        <v>6</v>
      </c>
      <c r="M88" s="4">
        <v>726</v>
      </c>
      <c r="O88" s="4">
        <v>70</v>
      </c>
      <c r="P88" s="4">
        <v>143</v>
      </c>
      <c r="Q88" s="4">
        <v>98</v>
      </c>
      <c r="R88" s="4">
        <v>98</v>
      </c>
      <c r="S88" s="4">
        <v>0</v>
      </c>
      <c r="T88" s="4">
        <v>3</v>
      </c>
      <c r="U88" s="4">
        <v>4</v>
      </c>
      <c r="V88" s="4">
        <v>827</v>
      </c>
      <c r="X88" s="4">
        <v>107</v>
      </c>
      <c r="Y88" s="4">
        <v>149</v>
      </c>
      <c r="Z88" s="4">
        <v>98</v>
      </c>
      <c r="AA88" s="4">
        <v>98</v>
      </c>
      <c r="AB88" s="4">
        <v>3</v>
      </c>
      <c r="AC88" s="4">
        <v>4</v>
      </c>
      <c r="AD88" s="4">
        <v>5</v>
      </c>
      <c r="AE88" s="4">
        <v>1020</v>
      </c>
      <c r="AF88" s="7">
        <f t="shared" si="7"/>
        <v>680.29279999999994</v>
      </c>
      <c r="AG88" s="7">
        <f t="shared" si="4"/>
        <v>149.93543956367023</v>
      </c>
      <c r="AI88" s="7">
        <f t="shared" si="5"/>
        <v>741.13900000000001</v>
      </c>
      <c r="AK88" s="4">
        <f t="shared" si="6"/>
        <v>91.79017701132986</v>
      </c>
    </row>
    <row r="89" spans="1:37" x14ac:dyDescent="0.2">
      <c r="A89" s="4" t="s">
        <v>153</v>
      </c>
      <c r="B89" s="4">
        <v>0</v>
      </c>
      <c r="C89" s="4">
        <v>165</v>
      </c>
      <c r="D89" s="4">
        <v>31</v>
      </c>
      <c r="E89" s="4">
        <v>22.41</v>
      </c>
      <c r="F89" s="4">
        <v>97</v>
      </c>
      <c r="G89" s="4">
        <v>103</v>
      </c>
      <c r="H89" s="4">
        <v>98</v>
      </c>
      <c r="I89" s="4">
        <v>97</v>
      </c>
      <c r="J89" s="4">
        <v>0</v>
      </c>
      <c r="K89" s="4">
        <v>4</v>
      </c>
      <c r="L89" s="4">
        <v>6</v>
      </c>
      <c r="M89" s="4">
        <v>500</v>
      </c>
      <c r="O89" s="4">
        <v>100</v>
      </c>
      <c r="P89" s="4">
        <v>150</v>
      </c>
      <c r="Q89" s="4">
        <v>99</v>
      </c>
      <c r="R89" s="4">
        <v>97</v>
      </c>
      <c r="S89" s="4">
        <v>2</v>
      </c>
      <c r="T89" s="4">
        <v>5</v>
      </c>
      <c r="U89" s="4">
        <v>4</v>
      </c>
      <c r="V89" s="4">
        <v>711</v>
      </c>
      <c r="X89" s="4">
        <v>105</v>
      </c>
      <c r="Y89" s="4">
        <v>135</v>
      </c>
      <c r="Z89" s="4">
        <v>97</v>
      </c>
      <c r="AA89" s="4">
        <v>97</v>
      </c>
      <c r="AB89" s="4">
        <v>0</v>
      </c>
      <c r="AC89" s="4">
        <v>4</v>
      </c>
      <c r="AD89" s="4">
        <v>6</v>
      </c>
      <c r="AE89" s="4">
        <v>737</v>
      </c>
      <c r="AF89" s="7">
        <f t="shared" si="7"/>
        <v>625.06780000000003</v>
      </c>
      <c r="AG89" s="7">
        <f t="shared" si="4"/>
        <v>117.90720942592148</v>
      </c>
      <c r="AI89" s="7">
        <f t="shared" si="5"/>
        <v>645.69999999999993</v>
      </c>
      <c r="AK89" s="4">
        <f t="shared" si="6"/>
        <v>96.804677094626001</v>
      </c>
    </row>
    <row r="90" spans="1:37" x14ac:dyDescent="0.2">
      <c r="A90" s="4" t="s">
        <v>154</v>
      </c>
      <c r="B90" s="4">
        <v>0</v>
      </c>
      <c r="C90" s="4">
        <v>157</v>
      </c>
      <c r="D90" s="4">
        <v>29</v>
      </c>
      <c r="E90" s="4">
        <v>18.66</v>
      </c>
      <c r="F90" s="4">
        <v>90</v>
      </c>
      <c r="G90" s="4">
        <v>110</v>
      </c>
      <c r="H90" s="4">
        <v>96</v>
      </c>
      <c r="I90" s="4">
        <v>98</v>
      </c>
      <c r="J90" s="4">
        <v>0</v>
      </c>
      <c r="K90" s="4">
        <v>4</v>
      </c>
      <c r="L90" s="4">
        <v>5</v>
      </c>
      <c r="M90" s="4">
        <v>610</v>
      </c>
      <c r="O90" s="4">
        <v>76</v>
      </c>
      <c r="P90" s="4">
        <v>138</v>
      </c>
      <c r="Q90" s="4">
        <v>95</v>
      </c>
      <c r="R90" s="4">
        <v>97</v>
      </c>
      <c r="S90" s="4">
        <v>1</v>
      </c>
      <c r="T90" s="4">
        <v>4</v>
      </c>
      <c r="U90" s="4">
        <v>6</v>
      </c>
      <c r="V90" s="4">
        <v>651</v>
      </c>
      <c r="X90" s="4">
        <v>64</v>
      </c>
      <c r="Y90" s="4">
        <v>142</v>
      </c>
      <c r="Z90" s="4">
        <v>96</v>
      </c>
      <c r="AA90" s="4">
        <v>98</v>
      </c>
      <c r="AB90" s="4">
        <v>0</v>
      </c>
      <c r="AC90" s="4">
        <v>5</v>
      </c>
      <c r="AD90" s="4">
        <v>7</v>
      </c>
      <c r="AE90" s="4">
        <v>690</v>
      </c>
      <c r="AF90" s="7">
        <f t="shared" si="7"/>
        <v>651.41030000000001</v>
      </c>
      <c r="AG90" s="7">
        <f t="shared" si="4"/>
        <v>105.92402361460971</v>
      </c>
      <c r="AI90" s="7">
        <f t="shared" si="5"/>
        <v>687.22900000000016</v>
      </c>
      <c r="AK90" s="4">
        <f t="shared" si="6"/>
        <v>94.78795277847702</v>
      </c>
    </row>
    <row r="91" spans="1:37" x14ac:dyDescent="0.2">
      <c r="A91" s="4" t="s">
        <v>155</v>
      </c>
      <c r="B91" s="4">
        <v>1</v>
      </c>
      <c r="C91" s="4">
        <v>172</v>
      </c>
      <c r="D91" s="4">
        <v>37</v>
      </c>
      <c r="E91" s="4">
        <v>24.68</v>
      </c>
      <c r="F91" s="4">
        <v>119</v>
      </c>
      <c r="G91" s="4">
        <v>158</v>
      </c>
      <c r="H91" s="4">
        <v>99</v>
      </c>
      <c r="I91" s="4">
        <v>96</v>
      </c>
      <c r="J91" s="4">
        <v>1</v>
      </c>
      <c r="K91" s="4">
        <v>2</v>
      </c>
      <c r="L91" s="4">
        <v>2</v>
      </c>
      <c r="M91" s="4">
        <v>577</v>
      </c>
      <c r="O91" s="4">
        <v>117</v>
      </c>
      <c r="P91" s="4">
        <v>153</v>
      </c>
      <c r="Q91" s="4">
        <v>99</v>
      </c>
      <c r="R91" s="4">
        <v>96</v>
      </c>
      <c r="S91" s="4">
        <v>1</v>
      </c>
      <c r="T91" s="4">
        <v>2</v>
      </c>
      <c r="U91" s="4">
        <v>3</v>
      </c>
      <c r="V91" s="4">
        <v>638</v>
      </c>
      <c r="X91" s="4">
        <v>107</v>
      </c>
      <c r="Y91" s="4">
        <v>130</v>
      </c>
      <c r="Z91" s="4">
        <v>96</v>
      </c>
      <c r="AA91" s="4">
        <v>96</v>
      </c>
      <c r="AB91" s="4">
        <v>1</v>
      </c>
      <c r="AC91" s="4">
        <v>1</v>
      </c>
      <c r="AD91" s="4">
        <v>3</v>
      </c>
      <c r="AE91" s="4">
        <v>660</v>
      </c>
      <c r="AF91" s="7">
        <f t="shared" si="7"/>
        <v>640.2989</v>
      </c>
      <c r="AG91" s="7">
        <f t="shared" si="4"/>
        <v>103.07685988528171</v>
      </c>
      <c r="AI91" s="7">
        <f t="shared" si="5"/>
        <v>671.63300000000004</v>
      </c>
      <c r="AK91" s="4">
        <f t="shared" si="6"/>
        <v>95.334639602282792</v>
      </c>
    </row>
    <row r="92" spans="1:37" x14ac:dyDescent="0.2">
      <c r="A92" s="4" t="s">
        <v>156</v>
      </c>
      <c r="B92" s="4">
        <v>1</v>
      </c>
      <c r="C92" s="4">
        <v>184</v>
      </c>
      <c r="D92" s="4">
        <v>33</v>
      </c>
      <c r="E92" s="4">
        <v>31.6</v>
      </c>
      <c r="F92" s="4">
        <v>99</v>
      </c>
      <c r="G92" s="4">
        <v>139</v>
      </c>
      <c r="H92" s="4">
        <v>98</v>
      </c>
      <c r="I92" s="4">
        <v>97</v>
      </c>
      <c r="J92" s="4">
        <v>2</v>
      </c>
      <c r="K92" s="4">
        <v>3</v>
      </c>
      <c r="L92" s="4">
        <v>4</v>
      </c>
      <c r="M92" s="4">
        <v>570</v>
      </c>
      <c r="O92" s="4">
        <v>86</v>
      </c>
      <c r="P92" s="4">
        <v>124</v>
      </c>
      <c r="Q92" s="4">
        <v>96</v>
      </c>
      <c r="R92" s="4">
        <v>97</v>
      </c>
      <c r="S92" s="4">
        <v>1</v>
      </c>
      <c r="T92" s="4">
        <v>2</v>
      </c>
      <c r="U92" s="4">
        <v>4</v>
      </c>
      <c r="V92" s="4">
        <v>630</v>
      </c>
      <c r="X92" s="4">
        <v>117</v>
      </c>
      <c r="Y92" s="4">
        <v>107</v>
      </c>
      <c r="Z92" s="4">
        <v>98</v>
      </c>
      <c r="AA92" s="4">
        <v>97</v>
      </c>
      <c r="AB92" s="4">
        <v>0</v>
      </c>
      <c r="AC92" s="4">
        <v>2</v>
      </c>
      <c r="AD92" s="4">
        <v>3</v>
      </c>
      <c r="AE92" s="4">
        <v>680</v>
      </c>
      <c r="AF92" s="7">
        <f t="shared" si="7"/>
        <v>621.37850000000003</v>
      </c>
      <c r="AG92" s="7">
        <f t="shared" si="4"/>
        <v>109.43410497788383</v>
      </c>
      <c r="AI92" s="7">
        <f t="shared" si="5"/>
        <v>659.89800000000014</v>
      </c>
      <c r="AK92" s="4">
        <f t="shared" si="6"/>
        <v>94.162810010031833</v>
      </c>
    </row>
    <row r="93" spans="1:37" x14ac:dyDescent="0.2">
      <c r="A93" s="4" t="s">
        <v>159</v>
      </c>
      <c r="B93" s="4">
        <v>0</v>
      </c>
      <c r="C93" s="4">
        <v>163</v>
      </c>
      <c r="D93" s="4">
        <v>44</v>
      </c>
      <c r="E93" s="4">
        <v>30.11</v>
      </c>
      <c r="F93" s="4">
        <v>111</v>
      </c>
      <c r="G93" s="4">
        <v>119</v>
      </c>
      <c r="H93" s="4">
        <v>98</v>
      </c>
      <c r="I93" s="4">
        <v>98</v>
      </c>
      <c r="J93" s="4">
        <v>1</v>
      </c>
      <c r="K93" s="4">
        <v>3</v>
      </c>
      <c r="L93" s="4">
        <v>3</v>
      </c>
      <c r="M93" s="4">
        <v>478</v>
      </c>
      <c r="O93" s="4">
        <v>110</v>
      </c>
      <c r="P93" s="4">
        <v>112</v>
      </c>
      <c r="Q93" s="4">
        <v>96</v>
      </c>
      <c r="R93" s="4">
        <v>97</v>
      </c>
      <c r="S93" s="4">
        <v>1</v>
      </c>
      <c r="T93" s="4">
        <v>3</v>
      </c>
      <c r="U93" s="4">
        <v>3</v>
      </c>
      <c r="V93" s="4">
        <v>540</v>
      </c>
      <c r="X93" s="4">
        <v>92</v>
      </c>
      <c r="Y93" s="4">
        <v>125</v>
      </c>
      <c r="Z93" s="4">
        <v>99</v>
      </c>
      <c r="AA93" s="4">
        <v>99</v>
      </c>
      <c r="AB93" s="4">
        <v>0</v>
      </c>
      <c r="AC93" s="4">
        <v>3</v>
      </c>
      <c r="AD93" s="4">
        <v>4</v>
      </c>
      <c r="AE93" s="4">
        <v>578</v>
      </c>
      <c r="AF93" s="7">
        <f t="shared" si="7"/>
        <v>541.77629999999999</v>
      </c>
      <c r="AG93" s="7">
        <f t="shared" si="4"/>
        <v>106.68609904124635</v>
      </c>
      <c r="AI93" s="7">
        <f t="shared" si="5"/>
        <v>611.70299999999997</v>
      </c>
      <c r="AK93" s="4">
        <f t="shared" si="6"/>
        <v>88.568520997935281</v>
      </c>
    </row>
    <row r="94" spans="1:37" x14ac:dyDescent="0.2">
      <c r="A94" s="4" t="s">
        <v>168</v>
      </c>
      <c r="B94" s="4">
        <v>0</v>
      </c>
      <c r="C94" s="4">
        <v>165</v>
      </c>
      <c r="D94" s="4">
        <v>48</v>
      </c>
      <c r="E94" s="4">
        <v>24.98</v>
      </c>
      <c r="F94" s="4">
        <v>130</v>
      </c>
      <c r="G94" s="4">
        <v>150</v>
      </c>
      <c r="H94" s="4">
        <v>98</v>
      </c>
      <c r="I94" s="4">
        <v>97</v>
      </c>
      <c r="J94" s="4">
        <v>2</v>
      </c>
      <c r="K94" s="4">
        <v>3</v>
      </c>
      <c r="L94" s="4">
        <v>3</v>
      </c>
      <c r="M94" s="4">
        <v>600</v>
      </c>
      <c r="O94" s="4">
        <v>114</v>
      </c>
      <c r="P94" s="4">
        <v>149</v>
      </c>
      <c r="Q94" s="4">
        <v>98</v>
      </c>
      <c r="R94" s="4">
        <v>97</v>
      </c>
      <c r="S94" s="4">
        <v>2</v>
      </c>
      <c r="T94" s="4">
        <v>4</v>
      </c>
      <c r="U94" s="4">
        <v>4</v>
      </c>
      <c r="V94" s="4">
        <v>568</v>
      </c>
      <c r="X94" s="4">
        <v>109</v>
      </c>
      <c r="Y94" s="4">
        <v>146</v>
      </c>
      <c r="Z94" s="4">
        <v>98</v>
      </c>
      <c r="AA94" s="4">
        <v>97</v>
      </c>
      <c r="AB94" s="4">
        <v>2</v>
      </c>
      <c r="AC94" s="4">
        <v>3</v>
      </c>
      <c r="AD94" s="4">
        <v>5</v>
      </c>
      <c r="AE94" s="4">
        <v>618</v>
      </c>
      <c r="AF94" s="7">
        <f t="shared" ref="AF94" si="8">890.46-(6.11*D94)+(0.0345*D94*D94)+(48.87*B94) -(4.87*E94)</f>
        <v>555.01540000000011</v>
      </c>
      <c r="AG94" s="7">
        <f t="shared" si="4"/>
        <v>111.34826168787386</v>
      </c>
      <c r="AI94" s="7">
        <f t="shared" ref="AI94" si="9" xml:space="preserve"> 356.658-(2.303*D94)+(36.648*B94)+(1.704*C94)+(1.365*Y94-X94)</f>
        <v>617.56399999999996</v>
      </c>
      <c r="AK94" s="4">
        <f t="shared" si="6"/>
        <v>89.871721797255049</v>
      </c>
    </row>
    <row r="95" spans="1:37" x14ac:dyDescent="0.2">
      <c r="A95" s="4" t="s">
        <v>161</v>
      </c>
      <c r="B95" s="4">
        <v>0</v>
      </c>
      <c r="C95" s="4">
        <v>161</v>
      </c>
      <c r="D95" s="4">
        <v>25</v>
      </c>
      <c r="E95" s="4">
        <v>30.09</v>
      </c>
      <c r="F95" s="4">
        <v>87</v>
      </c>
      <c r="G95" s="4">
        <v>160</v>
      </c>
      <c r="H95" s="4">
        <v>99</v>
      </c>
      <c r="I95" s="4">
        <v>99</v>
      </c>
      <c r="J95" s="4">
        <v>2</v>
      </c>
      <c r="K95" s="4">
        <v>2</v>
      </c>
      <c r="L95" s="4">
        <v>4</v>
      </c>
      <c r="M95" s="4">
        <v>440</v>
      </c>
      <c r="O95" s="4">
        <v>110</v>
      </c>
      <c r="P95" s="4">
        <v>138</v>
      </c>
      <c r="Q95" s="4">
        <v>99</v>
      </c>
      <c r="R95" s="4">
        <v>99</v>
      </c>
      <c r="S95" s="4">
        <v>1</v>
      </c>
      <c r="T95" s="4">
        <v>3</v>
      </c>
      <c r="U95" s="4">
        <v>5</v>
      </c>
      <c r="V95" s="4">
        <v>586</v>
      </c>
      <c r="X95" s="4">
        <v>92</v>
      </c>
      <c r="Y95" s="4">
        <v>125</v>
      </c>
      <c r="Z95" s="4">
        <v>99</v>
      </c>
      <c r="AA95" s="4">
        <v>99</v>
      </c>
      <c r="AB95" s="4">
        <v>0</v>
      </c>
      <c r="AC95" s="4">
        <v>2</v>
      </c>
      <c r="AD95" s="4">
        <v>4</v>
      </c>
      <c r="AE95" s="4">
        <v>550</v>
      </c>
      <c r="AF95" s="7">
        <f t="shared" si="7"/>
        <v>612.7342000000001</v>
      </c>
      <c r="AG95" s="7">
        <f t="shared" si="4"/>
        <v>89.761596463850054</v>
      </c>
      <c r="AI95" s="7">
        <f t="shared" si="5"/>
        <v>652.05200000000002</v>
      </c>
      <c r="AK95" s="4">
        <f t="shared" si="6"/>
        <v>93.970143485488904</v>
      </c>
    </row>
    <row r="96" spans="1:37" x14ac:dyDescent="0.2">
      <c r="A96" s="4" t="s">
        <v>162</v>
      </c>
      <c r="B96" s="4">
        <v>0</v>
      </c>
      <c r="C96" s="4">
        <v>173</v>
      </c>
      <c r="D96" s="4">
        <v>35</v>
      </c>
      <c r="E96" s="4">
        <v>21.72</v>
      </c>
      <c r="F96" s="4">
        <v>112</v>
      </c>
      <c r="G96" s="4">
        <v>169</v>
      </c>
      <c r="H96" s="4">
        <v>99</v>
      </c>
      <c r="I96" s="4">
        <v>99</v>
      </c>
      <c r="J96" s="4">
        <v>2</v>
      </c>
      <c r="K96" s="4">
        <v>4</v>
      </c>
      <c r="L96" s="4">
        <v>7</v>
      </c>
      <c r="M96" s="4">
        <v>737</v>
      </c>
      <c r="O96" s="4">
        <v>119</v>
      </c>
      <c r="P96" s="4">
        <v>140</v>
      </c>
      <c r="Q96" s="4">
        <v>99</v>
      </c>
      <c r="R96" s="4">
        <v>98</v>
      </c>
      <c r="S96" s="4">
        <v>2</v>
      </c>
      <c r="T96" s="4">
        <v>5</v>
      </c>
      <c r="U96" s="4">
        <v>5</v>
      </c>
      <c r="V96" s="4">
        <v>707</v>
      </c>
      <c r="X96" s="4">
        <v>96</v>
      </c>
      <c r="Y96" s="4">
        <v>161</v>
      </c>
      <c r="Z96" s="4">
        <v>99</v>
      </c>
      <c r="AA96" s="4">
        <v>92</v>
      </c>
      <c r="AB96" s="4">
        <v>1</v>
      </c>
      <c r="AC96" s="4">
        <v>4</v>
      </c>
      <c r="AD96" s="4">
        <v>5</v>
      </c>
      <c r="AE96" s="4">
        <v>780</v>
      </c>
      <c r="AF96" s="7">
        <f t="shared" si="7"/>
        <v>613.09610000000009</v>
      </c>
      <c r="AG96" s="7">
        <f t="shared" si="4"/>
        <v>127.22312211739724</v>
      </c>
      <c r="AI96" s="7">
        <f t="shared" si="5"/>
        <v>694.61</v>
      </c>
      <c r="AK96" s="4">
        <f t="shared" si="6"/>
        <v>88.264796072616306</v>
      </c>
    </row>
    <row r="97" spans="1:37" x14ac:dyDescent="0.2">
      <c r="A97" s="4" t="s">
        <v>164</v>
      </c>
      <c r="B97" s="4">
        <v>0</v>
      </c>
      <c r="C97" s="4">
        <v>165</v>
      </c>
      <c r="D97" s="4">
        <v>36</v>
      </c>
      <c r="E97" s="4">
        <v>18</v>
      </c>
      <c r="F97" s="4">
        <v>104</v>
      </c>
      <c r="G97" s="4">
        <v>154</v>
      </c>
      <c r="H97" s="4">
        <v>99</v>
      </c>
      <c r="I97" s="4">
        <v>99</v>
      </c>
      <c r="J97" s="4">
        <v>5</v>
      </c>
      <c r="K97" s="4">
        <v>8</v>
      </c>
      <c r="L97" s="4">
        <v>9</v>
      </c>
      <c r="M97" s="4">
        <v>560</v>
      </c>
      <c r="O97" s="4">
        <v>90</v>
      </c>
      <c r="P97" s="4">
        <v>89</v>
      </c>
      <c r="Q97" s="4">
        <v>99</v>
      </c>
      <c r="R97" s="4">
        <v>98</v>
      </c>
      <c r="S97" s="4">
        <v>4</v>
      </c>
      <c r="T97" s="4">
        <v>6</v>
      </c>
      <c r="U97" s="4">
        <v>8</v>
      </c>
      <c r="V97" s="4">
        <v>607</v>
      </c>
      <c r="X97" s="4">
        <v>87</v>
      </c>
      <c r="Y97" s="4">
        <v>118</v>
      </c>
      <c r="Z97" s="4">
        <v>99</v>
      </c>
      <c r="AA97" s="4">
        <v>99</v>
      </c>
      <c r="AB97" s="4">
        <v>3</v>
      </c>
      <c r="AC97" s="4">
        <v>5</v>
      </c>
      <c r="AD97" s="4">
        <v>7</v>
      </c>
      <c r="AE97" s="4">
        <v>606</v>
      </c>
      <c r="AF97" s="7">
        <f t="shared" ref="AF97" si="10">890.46-(6.11*D97)+(0.0345*D97*D97)+(48.87*B97) -(4.87*E97)</f>
        <v>627.55200000000002</v>
      </c>
      <c r="AG97" s="7">
        <f t="shared" si="4"/>
        <v>96.565702921829583</v>
      </c>
      <c r="AI97" s="7">
        <f t="shared" ref="AI97" si="11" xml:space="preserve"> 356.658-(2.303*D97)+(36.648*B97)+(1.704*C97)+(1.365*Y97-X97)</f>
        <v>628.98</v>
      </c>
      <c r="AK97" s="4">
        <f t="shared" si="6"/>
        <v>99.772965754078029</v>
      </c>
    </row>
    <row r="98" spans="1:37" x14ac:dyDescent="0.2">
      <c r="A98" s="4" t="s">
        <v>165</v>
      </c>
      <c r="B98" s="4">
        <v>0</v>
      </c>
      <c r="C98" s="4">
        <v>163</v>
      </c>
      <c r="D98" s="4">
        <v>24</v>
      </c>
      <c r="E98" s="4">
        <v>24.84</v>
      </c>
      <c r="F98" s="4">
        <v>115</v>
      </c>
      <c r="G98" s="4">
        <v>171</v>
      </c>
      <c r="H98" s="4">
        <v>99</v>
      </c>
      <c r="I98" s="4">
        <v>99</v>
      </c>
      <c r="J98" s="4">
        <v>2</v>
      </c>
      <c r="K98" s="4">
        <v>4</v>
      </c>
      <c r="L98" s="4">
        <v>4</v>
      </c>
      <c r="M98" s="4">
        <v>760</v>
      </c>
      <c r="O98" s="4">
        <v>119</v>
      </c>
      <c r="P98" s="4">
        <v>112</v>
      </c>
      <c r="Q98" s="4">
        <v>99</v>
      </c>
      <c r="R98" s="4">
        <v>97</v>
      </c>
      <c r="S98" s="4">
        <v>1</v>
      </c>
      <c r="T98" s="4">
        <v>3</v>
      </c>
      <c r="U98" s="4">
        <v>5</v>
      </c>
      <c r="V98" s="4">
        <v>780</v>
      </c>
      <c r="X98" s="4">
        <v>115</v>
      </c>
      <c r="Y98" s="4">
        <v>171</v>
      </c>
      <c r="Z98" s="4">
        <v>98</v>
      </c>
      <c r="AA98" s="4">
        <v>99</v>
      </c>
      <c r="AB98" s="4">
        <v>0</v>
      </c>
      <c r="AC98" s="4">
        <v>2</v>
      </c>
      <c r="AD98" s="4">
        <v>4</v>
      </c>
      <c r="AE98" s="4">
        <v>678</v>
      </c>
      <c r="AF98" s="7">
        <f t="shared" si="7"/>
        <v>642.72119999999995</v>
      </c>
      <c r="AG98" s="7">
        <f t="shared" si="4"/>
        <v>105.488974068383</v>
      </c>
      <c r="AI98" s="7">
        <f t="shared" si="5"/>
        <v>697.553</v>
      </c>
      <c r="AK98" s="4">
        <f t="shared" si="6"/>
        <v>92.139407328188668</v>
      </c>
    </row>
    <row r="99" spans="1:37" x14ac:dyDescent="0.2">
      <c r="A99" s="4" t="s">
        <v>166</v>
      </c>
      <c r="B99" s="4">
        <v>0</v>
      </c>
      <c r="C99" s="4">
        <v>153</v>
      </c>
      <c r="D99" s="4">
        <v>22</v>
      </c>
      <c r="E99" s="4">
        <v>22.21</v>
      </c>
      <c r="F99" s="4">
        <v>114</v>
      </c>
      <c r="G99" s="4">
        <v>160</v>
      </c>
      <c r="H99" s="4">
        <v>97</v>
      </c>
      <c r="I99" s="4">
        <v>97</v>
      </c>
      <c r="J99" s="4">
        <v>2</v>
      </c>
      <c r="K99" s="4">
        <v>5</v>
      </c>
      <c r="L99" s="4">
        <v>8</v>
      </c>
      <c r="M99" s="4">
        <v>660</v>
      </c>
      <c r="O99" s="4">
        <v>105</v>
      </c>
      <c r="P99" s="4">
        <v>74</v>
      </c>
      <c r="Q99" s="4">
        <v>99</v>
      </c>
      <c r="R99" s="4">
        <v>89</v>
      </c>
      <c r="S99" s="4">
        <v>2</v>
      </c>
      <c r="T99" s="4">
        <v>6</v>
      </c>
      <c r="U99" s="4">
        <v>8</v>
      </c>
      <c r="V99" s="4">
        <v>880</v>
      </c>
      <c r="X99" s="4">
        <v>111</v>
      </c>
      <c r="Y99" s="4">
        <v>166</v>
      </c>
      <c r="Z99" s="4">
        <v>98</v>
      </c>
      <c r="AA99" s="4">
        <v>99</v>
      </c>
      <c r="AB99" s="4">
        <v>1</v>
      </c>
      <c r="AC99" s="4">
        <v>3</v>
      </c>
      <c r="AD99" s="4">
        <v>6</v>
      </c>
      <c r="AE99" s="4">
        <v>692</v>
      </c>
      <c r="AF99" s="7">
        <f t="shared" si="7"/>
        <v>664.57529999999997</v>
      </c>
      <c r="AG99" s="7">
        <f t="shared" si="4"/>
        <v>104.1266505089792</v>
      </c>
      <c r="AI99" s="7">
        <f t="shared" si="5"/>
        <v>682.29399999999998</v>
      </c>
      <c r="AK99" s="4">
        <f t="shared" si="6"/>
        <v>97.403069644464111</v>
      </c>
    </row>
    <row r="100" spans="1:37" x14ac:dyDescent="0.2">
      <c r="A100" s="4" t="s">
        <v>167</v>
      </c>
      <c r="B100" s="4">
        <v>0</v>
      </c>
      <c r="C100" s="4">
        <v>169</v>
      </c>
      <c r="D100" s="4">
        <v>23</v>
      </c>
      <c r="E100" s="4">
        <v>22.41</v>
      </c>
      <c r="F100" s="4">
        <v>90</v>
      </c>
      <c r="G100" s="4">
        <v>126</v>
      </c>
      <c r="H100" s="4">
        <v>98</v>
      </c>
      <c r="I100" s="4">
        <v>99</v>
      </c>
      <c r="J100" s="4">
        <v>0</v>
      </c>
      <c r="K100" s="4">
        <v>3</v>
      </c>
      <c r="L100" s="4">
        <v>5</v>
      </c>
      <c r="M100" s="4">
        <v>610</v>
      </c>
      <c r="O100" s="4">
        <v>79</v>
      </c>
      <c r="P100" s="4">
        <v>142</v>
      </c>
      <c r="Q100" s="4">
        <v>98</v>
      </c>
      <c r="R100" s="4">
        <v>97</v>
      </c>
      <c r="S100" s="4">
        <v>0</v>
      </c>
      <c r="T100" s="4">
        <v>4</v>
      </c>
      <c r="U100" s="4">
        <v>4</v>
      </c>
      <c r="V100" s="4">
        <v>660</v>
      </c>
      <c r="X100" s="4">
        <v>86</v>
      </c>
      <c r="Y100" s="4">
        <v>130</v>
      </c>
      <c r="Z100" s="4">
        <v>98</v>
      </c>
      <c r="AA100" s="4">
        <v>97</v>
      </c>
      <c r="AB100" s="4">
        <v>1</v>
      </c>
      <c r="AC100" s="4">
        <v>4</v>
      </c>
      <c r="AD100" s="4">
        <v>3</v>
      </c>
      <c r="AE100" s="4">
        <v>669</v>
      </c>
      <c r="AF100" s="7">
        <f t="shared" si="7"/>
        <v>659.04380000000003</v>
      </c>
      <c r="AG100" s="7">
        <f t="shared" si="4"/>
        <v>101.51070384092833</v>
      </c>
      <c r="AI100" s="7">
        <f t="shared" si="5"/>
        <v>683.11500000000001</v>
      </c>
      <c r="AK100" s="4">
        <f t="shared" si="6"/>
        <v>96.476259487787559</v>
      </c>
    </row>
    <row r="101" spans="1:37" x14ac:dyDescent="0.2">
      <c r="A101" s="4" t="s">
        <v>169</v>
      </c>
      <c r="B101" s="4">
        <v>0</v>
      </c>
      <c r="C101" s="4">
        <v>162</v>
      </c>
      <c r="D101" s="4">
        <v>23</v>
      </c>
      <c r="E101" s="4">
        <v>22.86</v>
      </c>
      <c r="F101" s="4">
        <v>63</v>
      </c>
      <c r="G101" s="4">
        <v>83</v>
      </c>
      <c r="H101" s="4">
        <v>99</v>
      </c>
      <c r="I101" s="4">
        <v>99</v>
      </c>
      <c r="J101" s="4">
        <v>0</v>
      </c>
      <c r="K101" s="4">
        <v>1</v>
      </c>
      <c r="L101" s="4">
        <v>2</v>
      </c>
      <c r="M101" s="4">
        <v>590</v>
      </c>
      <c r="O101" s="4">
        <v>71</v>
      </c>
      <c r="P101" s="4">
        <v>89</v>
      </c>
      <c r="Q101" s="4">
        <v>96</v>
      </c>
      <c r="R101" s="4">
        <v>99</v>
      </c>
      <c r="S101" s="4">
        <v>0</v>
      </c>
      <c r="T101" s="4">
        <v>1</v>
      </c>
      <c r="U101" s="4">
        <v>1</v>
      </c>
      <c r="V101" s="4">
        <v>578</v>
      </c>
      <c r="X101" s="4">
        <v>91</v>
      </c>
      <c r="Y101" s="4">
        <v>117</v>
      </c>
      <c r="Z101" s="4">
        <v>97</v>
      </c>
      <c r="AA101" s="4">
        <v>99</v>
      </c>
      <c r="AB101" s="4">
        <v>0</v>
      </c>
      <c r="AC101" s="4">
        <v>1</v>
      </c>
      <c r="AD101" s="4">
        <v>2</v>
      </c>
      <c r="AE101" s="4">
        <v>690</v>
      </c>
      <c r="AF101" s="7">
        <f t="shared" si="7"/>
        <v>656.85230000000001</v>
      </c>
      <c r="AG101" s="7">
        <f t="shared" si="4"/>
        <v>105.04644651468831</v>
      </c>
      <c r="AI101" s="7">
        <f t="shared" si="5"/>
        <v>648.44200000000012</v>
      </c>
      <c r="AK101" s="4">
        <f t="shared" si="6"/>
        <v>101.29700111960666</v>
      </c>
    </row>
    <row r="102" spans="1:37" x14ac:dyDescent="0.2">
      <c r="A102" s="4" t="s">
        <v>170</v>
      </c>
      <c r="B102" s="4">
        <v>0</v>
      </c>
      <c r="C102" s="4">
        <v>171</v>
      </c>
      <c r="D102" s="4">
        <v>25</v>
      </c>
      <c r="E102" s="4">
        <v>20.18</v>
      </c>
      <c r="F102" s="4">
        <v>103</v>
      </c>
      <c r="G102" s="4">
        <v>113</v>
      </c>
      <c r="H102" s="4">
        <v>92</v>
      </c>
      <c r="I102" s="4">
        <v>99</v>
      </c>
      <c r="J102" s="4">
        <v>0</v>
      </c>
      <c r="K102" s="4">
        <v>1</v>
      </c>
      <c r="L102" s="4">
        <v>2</v>
      </c>
      <c r="M102" s="4">
        <v>570</v>
      </c>
      <c r="O102" s="4">
        <v>87</v>
      </c>
      <c r="P102" s="4">
        <v>106</v>
      </c>
      <c r="Q102" s="4">
        <v>98</v>
      </c>
      <c r="R102" s="4">
        <v>98</v>
      </c>
      <c r="S102" s="4">
        <v>1</v>
      </c>
      <c r="T102" s="4">
        <v>3</v>
      </c>
      <c r="U102" s="4">
        <v>3</v>
      </c>
      <c r="V102" s="4">
        <v>590</v>
      </c>
      <c r="X102" s="4">
        <v>116</v>
      </c>
      <c r="Y102" s="4">
        <v>79</v>
      </c>
      <c r="Z102" s="4">
        <v>97</v>
      </c>
      <c r="AA102" s="4">
        <v>97</v>
      </c>
      <c r="AB102" s="4">
        <v>2</v>
      </c>
      <c r="AC102" s="4">
        <v>2</v>
      </c>
      <c r="AD102" s="4">
        <v>3</v>
      </c>
      <c r="AE102" s="4">
        <v>644</v>
      </c>
      <c r="AF102" s="7">
        <f t="shared" si="7"/>
        <v>660.99590000000001</v>
      </c>
      <c r="AG102" s="7">
        <f t="shared" si="4"/>
        <v>97.428743506578485</v>
      </c>
      <c r="AI102" s="7">
        <f t="shared" si="5"/>
        <v>582.30200000000013</v>
      </c>
      <c r="AK102" s="4">
        <f t="shared" si="6"/>
        <v>113.51427609728282</v>
      </c>
    </row>
    <row r="103" spans="1:37" x14ac:dyDescent="0.2">
      <c r="A103" s="4" t="s">
        <v>171</v>
      </c>
      <c r="B103" s="4">
        <v>0</v>
      </c>
      <c r="C103" s="4">
        <v>162</v>
      </c>
      <c r="D103" s="4">
        <v>43</v>
      </c>
      <c r="E103" s="4">
        <v>20.2</v>
      </c>
      <c r="F103" s="4">
        <v>52</v>
      </c>
      <c r="G103" s="4">
        <v>116</v>
      </c>
      <c r="H103" s="4">
        <v>99</v>
      </c>
      <c r="I103" s="4">
        <v>99</v>
      </c>
      <c r="J103" s="4">
        <v>2</v>
      </c>
      <c r="K103" s="4">
        <v>2</v>
      </c>
      <c r="L103" s="4">
        <v>3</v>
      </c>
      <c r="M103" s="4">
        <v>555</v>
      </c>
      <c r="O103" s="4">
        <v>118</v>
      </c>
      <c r="P103" s="4">
        <v>105</v>
      </c>
      <c r="Q103" s="4">
        <v>99</v>
      </c>
      <c r="R103" s="4">
        <v>98</v>
      </c>
      <c r="S103" s="4">
        <v>2</v>
      </c>
      <c r="T103" s="4">
        <v>3</v>
      </c>
      <c r="U103" s="4">
        <v>4</v>
      </c>
      <c r="V103" s="4">
        <v>648</v>
      </c>
      <c r="X103" s="4">
        <v>97</v>
      </c>
      <c r="Y103" s="4">
        <v>73</v>
      </c>
      <c r="Z103" s="4">
        <v>97</v>
      </c>
      <c r="AA103" s="4">
        <v>97</v>
      </c>
      <c r="AB103" s="4">
        <v>2</v>
      </c>
      <c r="AC103" s="4">
        <v>2</v>
      </c>
      <c r="AD103" s="4">
        <v>2</v>
      </c>
      <c r="AE103" s="4">
        <v>676</v>
      </c>
      <c r="AF103" s="7">
        <f t="shared" si="7"/>
        <v>593.14649999999995</v>
      </c>
      <c r="AG103" s="7">
        <f t="shared" si="4"/>
        <v>113.96847153274952</v>
      </c>
      <c r="AI103" s="7">
        <f t="shared" si="5"/>
        <v>536.322</v>
      </c>
      <c r="AK103" s="4">
        <f t="shared" si="6"/>
        <v>110.59522078154541</v>
      </c>
    </row>
    <row r="104" spans="1:37" x14ac:dyDescent="0.2">
      <c r="A104" s="4" t="s">
        <v>165</v>
      </c>
      <c r="B104" s="4">
        <v>0</v>
      </c>
      <c r="C104" s="4">
        <v>163</v>
      </c>
      <c r="D104" s="4">
        <v>24</v>
      </c>
      <c r="E104" s="4">
        <v>24.84</v>
      </c>
      <c r="F104" s="4">
        <v>115</v>
      </c>
      <c r="G104" s="4">
        <v>171</v>
      </c>
      <c r="H104" s="4">
        <v>99</v>
      </c>
      <c r="I104" s="4">
        <v>99</v>
      </c>
      <c r="J104" s="4">
        <v>2</v>
      </c>
      <c r="K104" s="4">
        <v>4</v>
      </c>
      <c r="L104" s="4">
        <v>4</v>
      </c>
      <c r="M104" s="4">
        <v>760</v>
      </c>
      <c r="O104" s="4">
        <v>119</v>
      </c>
      <c r="P104" s="4">
        <v>112</v>
      </c>
      <c r="Q104" s="4">
        <v>99</v>
      </c>
      <c r="R104" s="4">
        <v>97</v>
      </c>
      <c r="S104" s="4">
        <v>1</v>
      </c>
      <c r="T104" s="4">
        <v>3</v>
      </c>
      <c r="U104" s="4">
        <v>5</v>
      </c>
      <c r="V104" s="4">
        <v>780</v>
      </c>
      <c r="X104" s="4">
        <v>97</v>
      </c>
      <c r="Y104" s="4">
        <v>134</v>
      </c>
      <c r="Z104" s="4">
        <v>98</v>
      </c>
      <c r="AA104" s="4">
        <v>99</v>
      </c>
      <c r="AB104" s="4">
        <v>0</v>
      </c>
      <c r="AC104" s="4">
        <v>2</v>
      </c>
      <c r="AD104" s="4">
        <v>4</v>
      </c>
      <c r="AE104" s="4">
        <v>678</v>
      </c>
      <c r="AF104" s="7">
        <f t="shared" si="7"/>
        <v>642.72119999999995</v>
      </c>
      <c r="AG104" s="7">
        <f t="shared" si="4"/>
        <v>105.488974068383</v>
      </c>
      <c r="AI104" s="7">
        <f t="shared" si="5"/>
        <v>665.048</v>
      </c>
      <c r="AK104" s="4">
        <f t="shared" si="6"/>
        <v>96.64282878829799</v>
      </c>
    </row>
    <row r="105" spans="1:37" x14ac:dyDescent="0.2">
      <c r="A105" s="4" t="s">
        <v>172</v>
      </c>
      <c r="B105" s="4">
        <v>0</v>
      </c>
      <c r="C105" s="4">
        <v>160</v>
      </c>
      <c r="D105" s="4">
        <v>27</v>
      </c>
      <c r="E105" s="4">
        <v>19.920000000000002</v>
      </c>
      <c r="F105" s="4">
        <v>110</v>
      </c>
      <c r="G105" s="4">
        <v>115</v>
      </c>
      <c r="H105" s="4">
        <v>98</v>
      </c>
      <c r="I105" s="4">
        <v>99</v>
      </c>
      <c r="J105" s="4">
        <v>1</v>
      </c>
      <c r="K105" s="4">
        <v>5</v>
      </c>
      <c r="L105" s="4">
        <v>6</v>
      </c>
      <c r="M105" s="4">
        <v>660</v>
      </c>
      <c r="O105" s="4">
        <v>85</v>
      </c>
      <c r="P105" s="4">
        <v>110</v>
      </c>
      <c r="Q105" s="4">
        <v>98</v>
      </c>
      <c r="R105" s="4">
        <v>97</v>
      </c>
      <c r="S105" s="4">
        <v>1</v>
      </c>
      <c r="T105" s="4">
        <v>4</v>
      </c>
      <c r="U105" s="4">
        <v>5</v>
      </c>
      <c r="V105" s="4">
        <v>686</v>
      </c>
      <c r="X105" s="4">
        <v>121</v>
      </c>
      <c r="Y105" s="4">
        <v>126</v>
      </c>
      <c r="Z105" s="4">
        <v>95</v>
      </c>
      <c r="AA105" s="4">
        <v>98</v>
      </c>
      <c r="AB105" s="4">
        <v>1</v>
      </c>
      <c r="AC105" s="4">
        <v>4</v>
      </c>
      <c r="AD105" s="4">
        <v>5</v>
      </c>
      <c r="AE105" s="4">
        <v>701</v>
      </c>
      <c r="AF105" s="7">
        <f t="shared" si="7"/>
        <v>653.63009999999997</v>
      </c>
      <c r="AG105" s="7">
        <f t="shared" si="4"/>
        <v>107.24720296693803</v>
      </c>
      <c r="AI105" s="7">
        <f t="shared" si="5"/>
        <v>618.10699999999997</v>
      </c>
      <c r="AK105" s="4">
        <f t="shared" si="6"/>
        <v>105.74707938916725</v>
      </c>
    </row>
    <row r="106" spans="1:37" x14ac:dyDescent="0.2">
      <c r="A106" s="4" t="s">
        <v>173</v>
      </c>
      <c r="B106" s="4">
        <v>0</v>
      </c>
      <c r="C106" s="4">
        <v>173</v>
      </c>
      <c r="D106" s="4">
        <v>23</v>
      </c>
      <c r="E106" s="4">
        <v>21.38</v>
      </c>
      <c r="F106" s="4">
        <v>120</v>
      </c>
      <c r="G106" s="4">
        <v>144</v>
      </c>
      <c r="H106" s="4">
        <v>98</v>
      </c>
      <c r="I106" s="4">
        <v>98</v>
      </c>
      <c r="J106" s="4">
        <v>1</v>
      </c>
      <c r="K106" s="4">
        <v>4</v>
      </c>
      <c r="L106" s="4">
        <v>5</v>
      </c>
      <c r="M106" s="4">
        <v>530</v>
      </c>
      <c r="O106" s="4">
        <v>98</v>
      </c>
      <c r="P106" s="4">
        <v>145</v>
      </c>
      <c r="Q106" s="4">
        <v>98</v>
      </c>
      <c r="R106" s="4">
        <v>97</v>
      </c>
      <c r="S106" s="4">
        <v>2</v>
      </c>
      <c r="T106" s="4">
        <v>5</v>
      </c>
      <c r="U106" s="4">
        <v>5</v>
      </c>
      <c r="V106" s="4">
        <v>663</v>
      </c>
      <c r="X106" s="4">
        <v>74</v>
      </c>
      <c r="Y106" s="4">
        <v>124</v>
      </c>
      <c r="Z106" s="4">
        <v>97</v>
      </c>
      <c r="AA106" s="4">
        <v>97</v>
      </c>
      <c r="AB106" s="4">
        <v>0</v>
      </c>
      <c r="AC106" s="4">
        <v>2</v>
      </c>
      <c r="AD106" s="4">
        <v>5</v>
      </c>
      <c r="AE106" s="4">
        <v>594</v>
      </c>
      <c r="AF106" s="7">
        <f t="shared" si="7"/>
        <v>664.05990000000008</v>
      </c>
      <c r="AG106" s="7">
        <f t="shared" si="4"/>
        <v>89.449761986832797</v>
      </c>
      <c r="AI106" s="7">
        <f t="shared" si="5"/>
        <v>693.74099999999999</v>
      </c>
      <c r="AK106" s="4">
        <f t="shared" si="6"/>
        <v>95.721587739516636</v>
      </c>
    </row>
    <row r="107" spans="1:37" x14ac:dyDescent="0.2">
      <c r="A107" s="4" t="s">
        <v>174</v>
      </c>
      <c r="B107" s="4">
        <v>1</v>
      </c>
      <c r="C107" s="4">
        <v>169</v>
      </c>
      <c r="D107" s="4">
        <v>24</v>
      </c>
      <c r="E107" s="4">
        <v>25.56</v>
      </c>
      <c r="F107" s="4">
        <v>107</v>
      </c>
      <c r="G107" s="4">
        <v>149</v>
      </c>
      <c r="H107" s="4">
        <v>98</v>
      </c>
      <c r="I107" s="4">
        <v>97</v>
      </c>
      <c r="J107" s="4">
        <v>2</v>
      </c>
      <c r="K107" s="4">
        <v>4</v>
      </c>
      <c r="L107" s="4">
        <v>4</v>
      </c>
      <c r="M107" s="4">
        <v>650</v>
      </c>
      <c r="O107" s="4">
        <v>115</v>
      </c>
      <c r="P107" s="4">
        <v>130</v>
      </c>
      <c r="Q107" s="4">
        <v>95</v>
      </c>
      <c r="R107" s="4">
        <v>99</v>
      </c>
      <c r="S107" s="4">
        <v>1</v>
      </c>
      <c r="T107" s="4">
        <v>3</v>
      </c>
      <c r="U107" s="4">
        <v>3</v>
      </c>
      <c r="V107" s="4">
        <v>726</v>
      </c>
      <c r="X107" s="4">
        <v>97</v>
      </c>
      <c r="Y107" s="4">
        <v>83</v>
      </c>
      <c r="Z107" s="4">
        <v>97</v>
      </c>
      <c r="AA107" s="4">
        <v>97</v>
      </c>
      <c r="AB107" s="4">
        <v>1</v>
      </c>
      <c r="AC107" s="4">
        <v>2</v>
      </c>
      <c r="AD107" s="4">
        <v>2</v>
      </c>
      <c r="AE107" s="4">
        <v>810</v>
      </c>
      <c r="AF107" s="7">
        <f t="shared" si="7"/>
        <v>688.08479999999997</v>
      </c>
      <c r="AG107" s="7">
        <f t="shared" si="4"/>
        <v>117.71804870562465</v>
      </c>
      <c r="AI107" s="7">
        <f t="shared" si="5"/>
        <v>642.30499999999995</v>
      </c>
      <c r="AK107" s="4">
        <f t="shared" si="6"/>
        <v>107.12742388740553</v>
      </c>
    </row>
    <row r="108" spans="1:37" x14ac:dyDescent="0.2">
      <c r="A108" s="4" t="s">
        <v>176</v>
      </c>
      <c r="B108" s="4">
        <v>0</v>
      </c>
      <c r="C108" s="4">
        <v>160</v>
      </c>
      <c r="D108" s="4">
        <v>24</v>
      </c>
      <c r="E108" s="4">
        <v>21.87</v>
      </c>
      <c r="F108" s="4">
        <v>104</v>
      </c>
      <c r="G108" s="4">
        <v>146</v>
      </c>
      <c r="H108" s="4">
        <v>99</v>
      </c>
      <c r="I108" s="4">
        <v>99</v>
      </c>
      <c r="J108" s="4">
        <v>6</v>
      </c>
      <c r="K108" s="4">
        <v>7</v>
      </c>
      <c r="L108" s="4">
        <v>7</v>
      </c>
      <c r="M108" s="4">
        <v>650</v>
      </c>
      <c r="O108" s="4">
        <v>90</v>
      </c>
      <c r="P108" s="4">
        <v>120</v>
      </c>
      <c r="Q108" s="4">
        <v>97</v>
      </c>
      <c r="R108" s="4">
        <v>99</v>
      </c>
      <c r="S108" s="4">
        <v>6</v>
      </c>
      <c r="T108" s="4">
        <v>6</v>
      </c>
      <c r="U108" s="4">
        <v>7</v>
      </c>
      <c r="V108" s="4">
        <v>540</v>
      </c>
      <c r="X108" s="4">
        <v>91</v>
      </c>
      <c r="Y108" s="4">
        <v>138</v>
      </c>
      <c r="Z108" s="4">
        <v>97</v>
      </c>
      <c r="AA108" s="4">
        <v>99</v>
      </c>
      <c r="AB108" s="4">
        <v>5</v>
      </c>
      <c r="AC108" s="4">
        <v>6</v>
      </c>
      <c r="AD108" s="4">
        <v>8</v>
      </c>
      <c r="AE108" s="4">
        <v>630</v>
      </c>
      <c r="AF108" s="7">
        <f t="shared" si="7"/>
        <v>657.18510000000003</v>
      </c>
      <c r="AG108" s="7">
        <f t="shared" si="4"/>
        <v>95.863402867776514</v>
      </c>
      <c r="AI108" s="7">
        <f t="shared" si="5"/>
        <v>671.39600000000007</v>
      </c>
      <c r="AK108" s="4">
        <f t="shared" si="6"/>
        <v>97.883380300150719</v>
      </c>
    </row>
    <row r="109" spans="1:37" x14ac:dyDescent="0.2">
      <c r="A109" s="4" t="s">
        <v>177</v>
      </c>
      <c r="B109" s="4">
        <v>0</v>
      </c>
      <c r="C109" s="4">
        <v>165</v>
      </c>
      <c r="D109" s="4">
        <v>23</v>
      </c>
      <c r="E109" s="4">
        <v>20.2</v>
      </c>
      <c r="F109" s="4">
        <v>105</v>
      </c>
      <c r="G109" s="4">
        <v>141</v>
      </c>
      <c r="H109" s="4">
        <v>92</v>
      </c>
      <c r="I109" s="4">
        <v>97</v>
      </c>
      <c r="J109" s="4">
        <v>2</v>
      </c>
      <c r="K109" s="4">
        <v>3</v>
      </c>
      <c r="L109" s="4">
        <v>5</v>
      </c>
      <c r="M109" s="4">
        <v>620</v>
      </c>
      <c r="O109" s="4">
        <v>90</v>
      </c>
      <c r="P109" s="4">
        <v>121</v>
      </c>
      <c r="Q109" s="4">
        <v>98</v>
      </c>
      <c r="R109" s="4">
        <v>97</v>
      </c>
      <c r="S109" s="4">
        <v>2</v>
      </c>
      <c r="T109" s="4">
        <v>4</v>
      </c>
      <c r="U109" s="4">
        <v>5</v>
      </c>
      <c r="V109" s="4">
        <v>644</v>
      </c>
      <c r="X109" s="4">
        <v>115</v>
      </c>
      <c r="Y109" s="4">
        <v>142</v>
      </c>
      <c r="Z109" s="4">
        <v>96</v>
      </c>
      <c r="AA109" s="4">
        <v>98</v>
      </c>
      <c r="AB109" s="4">
        <v>3</v>
      </c>
      <c r="AC109" s="4">
        <v>6</v>
      </c>
      <c r="AD109" s="4">
        <v>6</v>
      </c>
      <c r="AE109" s="4">
        <v>660</v>
      </c>
      <c r="AF109" s="7">
        <f t="shared" si="7"/>
        <v>669.80650000000003</v>
      </c>
      <c r="AG109" s="7">
        <f t="shared" si="4"/>
        <v>98.535920448666886</v>
      </c>
      <c r="AI109" s="7">
        <f t="shared" si="5"/>
        <v>663.67899999999997</v>
      </c>
      <c r="AK109" s="4">
        <f t="shared" si="6"/>
        <v>100.92326260134794</v>
      </c>
    </row>
    <row r="110" spans="1:37" x14ac:dyDescent="0.2">
      <c r="A110" s="4" t="s">
        <v>179</v>
      </c>
      <c r="B110" s="4">
        <v>0</v>
      </c>
      <c r="C110" s="4">
        <v>156</v>
      </c>
      <c r="D110" s="4">
        <v>24</v>
      </c>
      <c r="E110" s="4">
        <v>29.59</v>
      </c>
      <c r="F110" s="4">
        <v>90</v>
      </c>
      <c r="G110" s="4">
        <v>103</v>
      </c>
      <c r="H110" s="4">
        <v>99</v>
      </c>
      <c r="I110" s="4">
        <v>98</v>
      </c>
      <c r="J110" s="4">
        <v>3</v>
      </c>
      <c r="K110" s="4">
        <v>4</v>
      </c>
      <c r="L110" s="4">
        <v>6</v>
      </c>
      <c r="M110" s="4">
        <v>550</v>
      </c>
      <c r="O110" s="4">
        <v>89</v>
      </c>
      <c r="P110" s="4">
        <v>107</v>
      </c>
      <c r="Q110" s="4">
        <v>99</v>
      </c>
      <c r="R110" s="4">
        <v>99</v>
      </c>
      <c r="S110" s="4">
        <v>3</v>
      </c>
      <c r="T110" s="4">
        <v>5</v>
      </c>
      <c r="U110" s="4">
        <v>6</v>
      </c>
      <c r="V110" s="4">
        <v>640</v>
      </c>
      <c r="X110" s="4">
        <v>97</v>
      </c>
      <c r="Y110" s="4">
        <v>91</v>
      </c>
      <c r="Z110" s="4">
        <v>98</v>
      </c>
      <c r="AA110" s="4">
        <v>98</v>
      </c>
      <c r="AB110" s="4">
        <v>2</v>
      </c>
      <c r="AC110" s="4">
        <v>5</v>
      </c>
      <c r="AD110" s="4">
        <v>6</v>
      </c>
      <c r="AE110" s="4">
        <v>560</v>
      </c>
      <c r="AF110" s="7">
        <f t="shared" si="7"/>
        <v>619.58870000000002</v>
      </c>
      <c r="AG110" s="7">
        <f t="shared" si="4"/>
        <v>90.382539255477056</v>
      </c>
      <c r="AI110" s="7">
        <f t="shared" si="5"/>
        <v>594.42500000000007</v>
      </c>
      <c r="AK110" s="4">
        <f t="shared" si="6"/>
        <v>104.23328426630776</v>
      </c>
    </row>
    <row r="111" spans="1:37" x14ac:dyDescent="0.2">
      <c r="A111" s="4" t="s">
        <v>181</v>
      </c>
      <c r="B111" s="4">
        <v>1</v>
      </c>
      <c r="C111" s="4">
        <v>176</v>
      </c>
      <c r="D111" s="4">
        <v>23</v>
      </c>
      <c r="E111" s="4">
        <v>32.28</v>
      </c>
      <c r="F111" s="4">
        <v>77</v>
      </c>
      <c r="G111" s="4">
        <v>152</v>
      </c>
      <c r="H111" s="4">
        <v>98</v>
      </c>
      <c r="I111" s="4">
        <v>98</v>
      </c>
      <c r="J111" s="4">
        <v>1</v>
      </c>
      <c r="K111" s="4">
        <v>3</v>
      </c>
      <c r="L111" s="4">
        <v>3</v>
      </c>
      <c r="M111" s="4">
        <v>550</v>
      </c>
      <c r="O111" s="4">
        <v>83</v>
      </c>
      <c r="P111" s="4">
        <v>144</v>
      </c>
      <c r="Q111" s="4">
        <v>99</v>
      </c>
      <c r="R111" s="4">
        <v>97</v>
      </c>
      <c r="S111" s="4">
        <v>1</v>
      </c>
      <c r="T111" s="4">
        <v>3</v>
      </c>
      <c r="U111" s="4">
        <v>3</v>
      </c>
      <c r="V111" s="4">
        <v>640</v>
      </c>
      <c r="X111" s="4">
        <v>109</v>
      </c>
      <c r="Y111" s="4">
        <v>158</v>
      </c>
      <c r="Z111" s="4">
        <v>97</v>
      </c>
      <c r="AA111" s="4">
        <v>98</v>
      </c>
      <c r="AB111" s="4">
        <v>1</v>
      </c>
      <c r="AC111" s="4">
        <v>3</v>
      </c>
      <c r="AD111" s="4">
        <v>3</v>
      </c>
      <c r="AE111" s="4">
        <v>694</v>
      </c>
      <c r="AF111" s="7">
        <f t="shared" si="7"/>
        <v>659.84690000000001</v>
      </c>
      <c r="AG111" s="7">
        <f t="shared" si="4"/>
        <v>105.17591277613035</v>
      </c>
      <c r="AI111" s="7">
        <f t="shared" si="5"/>
        <v>746.91099999999994</v>
      </c>
      <c r="AK111" s="4">
        <f t="shared" si="6"/>
        <v>88.343443864128403</v>
      </c>
    </row>
    <row r="112" spans="1:37" x14ac:dyDescent="0.2">
      <c r="A112" s="4" t="s">
        <v>182</v>
      </c>
      <c r="B112" s="4">
        <v>0</v>
      </c>
      <c r="C112" s="4">
        <v>159</v>
      </c>
      <c r="D112" s="4">
        <v>23</v>
      </c>
      <c r="E112" s="4">
        <v>22.55</v>
      </c>
      <c r="F112" s="4">
        <v>121</v>
      </c>
      <c r="G112" s="4">
        <v>155</v>
      </c>
      <c r="H112" s="4">
        <v>97</v>
      </c>
      <c r="I112" s="4">
        <v>97</v>
      </c>
      <c r="J112" s="4">
        <v>1</v>
      </c>
      <c r="K112" s="4">
        <v>3</v>
      </c>
      <c r="L112" s="4">
        <v>4</v>
      </c>
      <c r="M112" s="4">
        <v>500</v>
      </c>
      <c r="O112" s="4">
        <v>107</v>
      </c>
      <c r="P112" s="4">
        <v>157</v>
      </c>
      <c r="Q112" s="4">
        <v>96</v>
      </c>
      <c r="R112" s="4">
        <v>97</v>
      </c>
      <c r="S112" s="4">
        <v>0</v>
      </c>
      <c r="T112" s="4">
        <v>1</v>
      </c>
      <c r="U112" s="4">
        <v>3</v>
      </c>
      <c r="V112" s="4">
        <v>600</v>
      </c>
      <c r="X112" s="4">
        <v>103</v>
      </c>
      <c r="Y112" s="4">
        <v>146</v>
      </c>
      <c r="Z112" s="4">
        <v>98</v>
      </c>
      <c r="AA112" s="4">
        <v>97</v>
      </c>
      <c r="AB112" s="4">
        <v>0</v>
      </c>
      <c r="AC112" s="4">
        <v>2</v>
      </c>
      <c r="AD112" s="4">
        <v>4</v>
      </c>
      <c r="AE112" s="4">
        <v>610</v>
      </c>
      <c r="AF112" s="7">
        <f t="shared" si="7"/>
        <v>658.36200000000008</v>
      </c>
      <c r="AG112" s="7">
        <f t="shared" si="4"/>
        <v>92.654193285760712</v>
      </c>
      <c r="AI112" s="7">
        <f t="shared" si="5"/>
        <v>670.91499999999996</v>
      </c>
      <c r="AK112" s="4">
        <f t="shared" si="6"/>
        <v>98.128973118800474</v>
      </c>
    </row>
    <row r="113" spans="1:37" x14ac:dyDescent="0.2">
      <c r="A113" s="4" t="s">
        <v>184</v>
      </c>
      <c r="B113" s="4">
        <v>1</v>
      </c>
      <c r="C113" s="4">
        <v>174</v>
      </c>
      <c r="D113" s="4">
        <v>25</v>
      </c>
      <c r="E113" s="4">
        <v>34.68</v>
      </c>
      <c r="F113" s="4">
        <v>66</v>
      </c>
      <c r="G113" s="4">
        <v>147</v>
      </c>
      <c r="H113" s="4">
        <v>96</v>
      </c>
      <c r="I113" s="4">
        <v>96</v>
      </c>
      <c r="J113" s="4">
        <v>0</v>
      </c>
      <c r="K113" s="4">
        <v>2</v>
      </c>
      <c r="L113" s="4">
        <v>3</v>
      </c>
      <c r="M113" s="4">
        <v>495</v>
      </c>
      <c r="O113" s="4">
        <v>97</v>
      </c>
      <c r="P113" s="4">
        <v>134</v>
      </c>
      <c r="Q113" s="4">
        <v>95</v>
      </c>
      <c r="R113" s="4">
        <v>144</v>
      </c>
      <c r="S113" s="4">
        <v>0</v>
      </c>
      <c r="T113" s="4">
        <v>3</v>
      </c>
      <c r="U113" s="4">
        <v>5</v>
      </c>
      <c r="V113" s="4">
        <v>584</v>
      </c>
      <c r="X113" s="4">
        <v>97</v>
      </c>
      <c r="Y113" s="4">
        <v>134</v>
      </c>
      <c r="Z113" s="4">
        <v>98</v>
      </c>
      <c r="AA113" s="4">
        <v>97</v>
      </c>
      <c r="AB113" s="4">
        <v>0</v>
      </c>
      <c r="AC113" s="4">
        <v>2</v>
      </c>
      <c r="AD113" s="4">
        <v>2</v>
      </c>
      <c r="AE113" s="4">
        <v>690</v>
      </c>
      <c r="AF113" s="7">
        <f t="shared" si="7"/>
        <v>639.2509</v>
      </c>
      <c r="AG113" s="7">
        <f t="shared" si="4"/>
        <v>107.93883903800527</v>
      </c>
      <c r="AI113" s="7">
        <f t="shared" si="5"/>
        <v>718.13700000000006</v>
      </c>
      <c r="AK113" s="4">
        <f t="shared" si="6"/>
        <v>89.015173984908174</v>
      </c>
    </row>
    <row r="114" spans="1:37" x14ac:dyDescent="0.2">
      <c r="A114" s="4" t="s">
        <v>185</v>
      </c>
      <c r="B114" s="4">
        <v>0</v>
      </c>
      <c r="C114" s="4">
        <v>172</v>
      </c>
      <c r="D114" s="4">
        <v>20</v>
      </c>
      <c r="E114" s="4">
        <v>21.97</v>
      </c>
      <c r="F114" s="4">
        <v>107</v>
      </c>
      <c r="G114" s="4">
        <v>134</v>
      </c>
      <c r="H114" s="4">
        <v>96</v>
      </c>
      <c r="I114" s="4">
        <v>98</v>
      </c>
      <c r="J114" s="4">
        <v>1</v>
      </c>
      <c r="K114" s="4">
        <v>2</v>
      </c>
      <c r="L114" s="4">
        <v>4</v>
      </c>
      <c r="M114" s="4">
        <v>556</v>
      </c>
      <c r="O114" s="4">
        <v>126</v>
      </c>
      <c r="P114" s="4">
        <v>134</v>
      </c>
      <c r="Q114" s="4">
        <v>98</v>
      </c>
      <c r="R114" s="4">
        <v>98</v>
      </c>
      <c r="S114" s="4">
        <v>3</v>
      </c>
      <c r="T114" s="4">
        <v>4</v>
      </c>
      <c r="U114" s="4">
        <v>5</v>
      </c>
      <c r="V114" s="4">
        <v>580</v>
      </c>
      <c r="X114" s="4">
        <v>85</v>
      </c>
      <c r="Y114" s="4">
        <v>134</v>
      </c>
      <c r="Z114" s="4">
        <v>99</v>
      </c>
      <c r="AA114" s="4">
        <v>97</v>
      </c>
      <c r="AB114" s="4">
        <v>0</v>
      </c>
      <c r="AC114" s="4">
        <v>3</v>
      </c>
      <c r="AD114" s="4">
        <v>4</v>
      </c>
      <c r="AE114" s="4">
        <v>699</v>
      </c>
      <c r="AF114" s="7">
        <f t="shared" si="7"/>
        <v>675.06610000000001</v>
      </c>
      <c r="AG114" s="7">
        <f t="shared" si="4"/>
        <v>103.54541577484042</v>
      </c>
      <c r="AI114" s="7">
        <f t="shared" si="5"/>
        <v>701.59599999999989</v>
      </c>
      <c r="AK114" s="4">
        <f t="shared" si="6"/>
        <v>96.218635796099193</v>
      </c>
    </row>
    <row r="115" spans="1:37" x14ac:dyDescent="0.2">
      <c r="A115" s="4" t="s">
        <v>188</v>
      </c>
      <c r="B115" s="4">
        <v>1</v>
      </c>
      <c r="C115" s="4">
        <v>175</v>
      </c>
      <c r="D115" s="4">
        <v>22</v>
      </c>
      <c r="E115" s="4">
        <v>23.84</v>
      </c>
      <c r="F115" s="4">
        <v>109</v>
      </c>
      <c r="G115" s="4">
        <v>150</v>
      </c>
      <c r="H115" s="4">
        <v>95</v>
      </c>
      <c r="I115" s="4">
        <v>97</v>
      </c>
      <c r="J115" s="4">
        <v>2</v>
      </c>
      <c r="K115" s="4">
        <v>3</v>
      </c>
      <c r="L115" s="4">
        <v>6</v>
      </c>
      <c r="M115" s="4">
        <v>660</v>
      </c>
      <c r="O115" s="4">
        <v>86</v>
      </c>
      <c r="P115" s="4">
        <v>145</v>
      </c>
      <c r="Q115" s="4">
        <v>97</v>
      </c>
      <c r="R115" s="4">
        <v>96</v>
      </c>
      <c r="S115" s="4">
        <v>1</v>
      </c>
      <c r="T115" s="4">
        <v>4</v>
      </c>
      <c r="U115" s="4">
        <v>7</v>
      </c>
      <c r="V115" s="4">
        <v>780</v>
      </c>
      <c r="X115" s="4">
        <v>112</v>
      </c>
      <c r="Y115" s="4">
        <v>153</v>
      </c>
      <c r="Z115" s="4">
        <v>93</v>
      </c>
      <c r="AA115" s="4">
        <v>97</v>
      </c>
      <c r="AB115" s="4">
        <v>1</v>
      </c>
      <c r="AC115" s="4">
        <v>4</v>
      </c>
      <c r="AD115" s="4">
        <v>6</v>
      </c>
      <c r="AE115" s="4">
        <v>720</v>
      </c>
      <c r="AF115" s="7">
        <f t="shared" si="7"/>
        <v>705.5071999999999</v>
      </c>
      <c r="AG115" s="7">
        <f t="shared" si="4"/>
        <v>102.05423842591543</v>
      </c>
      <c r="AI115" s="7">
        <f t="shared" si="5"/>
        <v>737.68500000000006</v>
      </c>
      <c r="AK115" s="4">
        <f t="shared" si="6"/>
        <v>95.638002670516528</v>
      </c>
    </row>
    <row r="116" spans="1:37" x14ac:dyDescent="0.2">
      <c r="A116" s="4" t="s">
        <v>189</v>
      </c>
      <c r="B116" s="4">
        <v>0</v>
      </c>
      <c r="C116" s="4">
        <v>162</v>
      </c>
      <c r="D116" s="4">
        <v>38</v>
      </c>
      <c r="E116" s="4">
        <v>24.01</v>
      </c>
      <c r="F116" s="4">
        <v>78</v>
      </c>
      <c r="G116" s="4">
        <v>118</v>
      </c>
      <c r="H116" s="4">
        <v>98</v>
      </c>
      <c r="I116" s="4">
        <v>98</v>
      </c>
      <c r="J116" s="4">
        <v>4</v>
      </c>
      <c r="K116" s="4">
        <v>5</v>
      </c>
      <c r="L116" s="4">
        <v>5</v>
      </c>
      <c r="M116" s="4">
        <v>617</v>
      </c>
      <c r="O116" s="4">
        <v>90</v>
      </c>
      <c r="P116" s="4">
        <v>121</v>
      </c>
      <c r="Q116" s="4">
        <v>99</v>
      </c>
      <c r="R116" s="4">
        <v>98</v>
      </c>
      <c r="S116" s="4">
        <v>4</v>
      </c>
      <c r="T116" s="4">
        <v>4</v>
      </c>
      <c r="U116" s="4">
        <v>5</v>
      </c>
      <c r="V116" s="4">
        <v>642</v>
      </c>
      <c r="X116" s="4">
        <v>102</v>
      </c>
      <c r="Y116" s="4">
        <v>115</v>
      </c>
      <c r="Z116" s="4">
        <v>97</v>
      </c>
      <c r="AA116" s="4">
        <v>98</v>
      </c>
      <c r="AB116" s="4">
        <v>4</v>
      </c>
      <c r="AC116" s="4">
        <v>5</v>
      </c>
      <c r="AD116" s="4">
        <v>6</v>
      </c>
      <c r="AE116" s="4">
        <v>702</v>
      </c>
      <c r="AF116" s="7">
        <f t="shared" si="7"/>
        <v>591.16929999999991</v>
      </c>
      <c r="AG116" s="7">
        <f t="shared" si="4"/>
        <v>118.74770898962448</v>
      </c>
      <c r="AI116" s="7">
        <f t="shared" si="5"/>
        <v>600.16700000000003</v>
      </c>
      <c r="AK116" s="4">
        <f t="shared" si="6"/>
        <v>98.500800610496725</v>
      </c>
    </row>
    <row r="117" spans="1:37" x14ac:dyDescent="0.2">
      <c r="A117" s="4" t="s">
        <v>190</v>
      </c>
      <c r="B117" s="4">
        <v>0</v>
      </c>
      <c r="C117" s="4">
        <v>157</v>
      </c>
      <c r="D117" s="4">
        <v>61</v>
      </c>
      <c r="E117" s="4">
        <v>25.56</v>
      </c>
      <c r="F117" s="4">
        <v>77</v>
      </c>
      <c r="G117" s="4">
        <v>111</v>
      </c>
      <c r="H117" s="4">
        <v>96</v>
      </c>
      <c r="I117" s="4">
        <v>96</v>
      </c>
      <c r="J117" s="4">
        <v>5</v>
      </c>
      <c r="K117" s="4">
        <v>5</v>
      </c>
      <c r="L117" s="4">
        <v>5</v>
      </c>
      <c r="M117" s="4">
        <v>520</v>
      </c>
      <c r="O117" s="4">
        <v>82</v>
      </c>
      <c r="P117" s="4">
        <v>120</v>
      </c>
      <c r="Q117" s="4">
        <v>96</v>
      </c>
      <c r="R117" s="4">
        <v>97</v>
      </c>
      <c r="S117" s="4">
        <v>2</v>
      </c>
      <c r="T117" s="4">
        <v>6</v>
      </c>
      <c r="U117" s="4">
        <v>6</v>
      </c>
      <c r="V117" s="4">
        <v>640</v>
      </c>
      <c r="X117" s="4">
        <v>86</v>
      </c>
      <c r="Y117" s="4">
        <v>122</v>
      </c>
      <c r="Z117" s="4">
        <v>97</v>
      </c>
      <c r="AA117" s="4">
        <v>97</v>
      </c>
      <c r="AB117" s="4">
        <v>5</v>
      </c>
      <c r="AC117" s="4">
        <v>5</v>
      </c>
      <c r="AD117" s="4">
        <v>5</v>
      </c>
      <c r="AE117" s="4">
        <v>540</v>
      </c>
      <c r="AF117" s="7">
        <f t="shared" si="7"/>
        <v>521.64729999999997</v>
      </c>
      <c r="AG117" s="7">
        <f t="shared" si="4"/>
        <v>103.51822006938404</v>
      </c>
      <c r="AI117" s="7">
        <f t="shared" si="5"/>
        <v>564.23300000000006</v>
      </c>
      <c r="AK117" s="4">
        <f t="shared" si="6"/>
        <v>92.452462014805931</v>
      </c>
    </row>
    <row r="118" spans="1:37" x14ac:dyDescent="0.2">
      <c r="A118" s="4" t="s">
        <v>193</v>
      </c>
      <c r="B118" s="4">
        <v>0</v>
      </c>
      <c r="C118" s="4">
        <v>166</v>
      </c>
      <c r="D118" s="4">
        <v>50</v>
      </c>
      <c r="E118" s="4">
        <v>21.77</v>
      </c>
      <c r="F118" s="4">
        <v>95</v>
      </c>
      <c r="G118" s="4">
        <v>103</v>
      </c>
      <c r="H118" s="4">
        <v>98</v>
      </c>
      <c r="I118" s="4">
        <v>99</v>
      </c>
      <c r="J118" s="4">
        <v>0</v>
      </c>
      <c r="K118" s="4">
        <v>4</v>
      </c>
      <c r="L118" s="4">
        <v>5</v>
      </c>
      <c r="M118" s="4">
        <v>560</v>
      </c>
      <c r="O118" s="4">
        <v>86</v>
      </c>
      <c r="P118" s="4">
        <v>116</v>
      </c>
      <c r="Q118" s="4">
        <v>97</v>
      </c>
      <c r="R118" s="4">
        <v>98</v>
      </c>
      <c r="S118" s="4">
        <v>0</v>
      </c>
      <c r="T118" s="4">
        <v>4</v>
      </c>
      <c r="U118" s="4">
        <v>5</v>
      </c>
      <c r="V118" s="4">
        <v>660</v>
      </c>
      <c r="X118" s="4">
        <v>79</v>
      </c>
      <c r="Y118" s="4">
        <v>121</v>
      </c>
      <c r="Z118" s="4">
        <v>99</v>
      </c>
      <c r="AA118" s="4">
        <v>97</v>
      </c>
      <c r="AB118" s="4">
        <v>0</v>
      </c>
      <c r="AC118" s="4">
        <v>4</v>
      </c>
      <c r="AD118" s="4">
        <v>6</v>
      </c>
      <c r="AE118" s="4">
        <v>690</v>
      </c>
      <c r="AF118" s="7">
        <f t="shared" si="7"/>
        <v>565.19010000000003</v>
      </c>
      <c r="AG118" s="7">
        <f t="shared" si="4"/>
        <v>122.08281779882554</v>
      </c>
      <c r="AI118" s="7">
        <f t="shared" si="5"/>
        <v>610.53700000000003</v>
      </c>
      <c r="AK118" s="4">
        <f t="shared" si="6"/>
        <v>92.572620496382697</v>
      </c>
    </row>
    <row r="119" spans="1:37" x14ac:dyDescent="0.2">
      <c r="A119" s="4" t="s">
        <v>194</v>
      </c>
      <c r="B119" s="4">
        <v>0</v>
      </c>
      <c r="C119" s="4">
        <v>164</v>
      </c>
      <c r="D119" s="4">
        <v>30</v>
      </c>
      <c r="E119" s="4">
        <v>18.559999999999999</v>
      </c>
      <c r="F119" s="4">
        <v>132</v>
      </c>
      <c r="G119" s="4">
        <v>140</v>
      </c>
      <c r="H119" s="4">
        <v>99</v>
      </c>
      <c r="I119" s="4">
        <v>99</v>
      </c>
      <c r="J119" s="4">
        <v>0</v>
      </c>
      <c r="K119" s="4">
        <v>1</v>
      </c>
      <c r="L119" s="4">
        <v>2</v>
      </c>
      <c r="M119" s="4">
        <v>570</v>
      </c>
      <c r="O119" s="4">
        <v>109</v>
      </c>
      <c r="P119" s="4">
        <v>148</v>
      </c>
      <c r="Q119" s="4">
        <v>97</v>
      </c>
      <c r="R119" s="4">
        <v>98</v>
      </c>
      <c r="S119" s="4">
        <v>1</v>
      </c>
      <c r="T119" s="4">
        <v>2</v>
      </c>
      <c r="U119" s="4">
        <v>3</v>
      </c>
      <c r="V119" s="4">
        <v>608</v>
      </c>
      <c r="X119" s="4">
        <v>106</v>
      </c>
      <c r="Y119" s="4">
        <v>150</v>
      </c>
      <c r="Z119" s="4">
        <v>94</v>
      </c>
      <c r="AA119" s="4">
        <v>96</v>
      </c>
      <c r="AB119" s="4">
        <v>0</v>
      </c>
      <c r="AC119" s="4">
        <v>3</v>
      </c>
      <c r="AD119" s="4">
        <v>5</v>
      </c>
      <c r="AE119" s="4">
        <v>714</v>
      </c>
      <c r="AF119" s="7">
        <f t="shared" si="7"/>
        <v>647.82280000000003</v>
      </c>
      <c r="AG119" s="7">
        <f t="shared" si="4"/>
        <v>110.2153243139945</v>
      </c>
      <c r="AI119" s="7">
        <f t="shared" si="5"/>
        <v>665.774</v>
      </c>
      <c r="AK119" s="4">
        <f t="shared" si="6"/>
        <v>97.303709667244448</v>
      </c>
    </row>
    <row r="120" spans="1:37" x14ac:dyDescent="0.2">
      <c r="A120" s="4" t="s">
        <v>195</v>
      </c>
      <c r="B120" s="4">
        <v>0</v>
      </c>
      <c r="C120" s="4">
        <v>157</v>
      </c>
      <c r="D120" s="4">
        <v>29</v>
      </c>
      <c r="E120" s="4">
        <v>21.5</v>
      </c>
      <c r="F120" s="4">
        <v>98</v>
      </c>
      <c r="G120" s="4">
        <v>121</v>
      </c>
      <c r="H120" s="4">
        <v>98</v>
      </c>
      <c r="I120" s="4">
        <v>97</v>
      </c>
      <c r="J120" s="4">
        <v>0</v>
      </c>
      <c r="K120" s="4">
        <v>2</v>
      </c>
      <c r="L120" s="4">
        <v>3</v>
      </c>
      <c r="M120" s="4">
        <v>530</v>
      </c>
      <c r="O120" s="4">
        <v>91</v>
      </c>
      <c r="P120" s="4">
        <v>145</v>
      </c>
      <c r="Q120" s="4">
        <v>98</v>
      </c>
      <c r="R120" s="4">
        <v>98</v>
      </c>
      <c r="S120" s="4">
        <v>0</v>
      </c>
      <c r="T120" s="4">
        <v>2</v>
      </c>
      <c r="U120" s="4">
        <v>4</v>
      </c>
      <c r="V120" s="4">
        <v>645</v>
      </c>
      <c r="X120" s="4">
        <v>98</v>
      </c>
      <c r="Y120" s="4">
        <v>120</v>
      </c>
      <c r="Z120" s="4">
        <v>98</v>
      </c>
      <c r="AA120" s="4">
        <v>99</v>
      </c>
      <c r="AB120" s="4">
        <v>0</v>
      </c>
      <c r="AC120" s="4">
        <v>2</v>
      </c>
      <c r="AD120" s="4">
        <v>3</v>
      </c>
      <c r="AE120" s="4">
        <v>590</v>
      </c>
      <c r="AF120" s="7">
        <f t="shared" si="7"/>
        <v>637.57949999999994</v>
      </c>
      <c r="AG120" s="7">
        <f t="shared" si="4"/>
        <v>92.537479639793958</v>
      </c>
      <c r="AI120" s="7">
        <f t="shared" si="5"/>
        <v>623.19900000000007</v>
      </c>
      <c r="AK120" s="4">
        <f t="shared" si="6"/>
        <v>102.30752937665173</v>
      </c>
    </row>
    <row r="121" spans="1:37" x14ac:dyDescent="0.2">
      <c r="A121" s="4" t="s">
        <v>196</v>
      </c>
      <c r="B121" s="4">
        <v>0</v>
      </c>
      <c r="C121" s="4">
        <v>168</v>
      </c>
      <c r="D121" s="4">
        <v>26</v>
      </c>
      <c r="E121" s="4">
        <v>19.489999999999998</v>
      </c>
      <c r="F121" s="4">
        <v>77</v>
      </c>
      <c r="G121" s="4">
        <v>112</v>
      </c>
      <c r="H121" s="4">
        <v>98</v>
      </c>
      <c r="I121" s="4">
        <v>98</v>
      </c>
      <c r="J121" s="4">
        <v>0</v>
      </c>
      <c r="K121" s="4">
        <v>2</v>
      </c>
      <c r="L121" s="4">
        <v>3</v>
      </c>
      <c r="M121" s="4">
        <v>660</v>
      </c>
      <c r="O121" s="4">
        <v>76</v>
      </c>
      <c r="P121" s="4">
        <v>112</v>
      </c>
      <c r="Q121" s="4">
        <v>99</v>
      </c>
      <c r="R121" s="4">
        <v>98</v>
      </c>
      <c r="S121" s="4">
        <v>0</v>
      </c>
      <c r="T121" s="4">
        <v>2</v>
      </c>
      <c r="U121" s="4">
        <v>2</v>
      </c>
      <c r="V121" s="4">
        <v>640</v>
      </c>
      <c r="X121" s="4">
        <v>82</v>
      </c>
      <c r="Y121" s="4">
        <v>117</v>
      </c>
      <c r="Z121" s="4">
        <v>98</v>
      </c>
      <c r="AA121" s="4">
        <v>98</v>
      </c>
      <c r="AB121" s="4">
        <v>1</v>
      </c>
      <c r="AC121" s="4">
        <v>2</v>
      </c>
      <c r="AD121" s="4">
        <v>3</v>
      </c>
      <c r="AE121" s="4">
        <v>720</v>
      </c>
      <c r="AF121" s="7">
        <f t="shared" si="7"/>
        <v>660.00570000000005</v>
      </c>
      <c r="AG121" s="7">
        <f t="shared" si="4"/>
        <v>109.08996695028542</v>
      </c>
      <c r="AI121" s="7">
        <f t="shared" si="5"/>
        <v>660.75700000000006</v>
      </c>
      <c r="AK121" s="4">
        <f t="shared" si="6"/>
        <v>99.886297080469816</v>
      </c>
    </row>
    <row r="122" spans="1:37" x14ac:dyDescent="0.2">
      <c r="A122" s="4" t="s">
        <v>197</v>
      </c>
      <c r="B122" s="4">
        <v>0</v>
      </c>
      <c r="C122" s="4">
        <v>162</v>
      </c>
      <c r="D122" s="4">
        <v>28</v>
      </c>
      <c r="E122" s="4">
        <v>34.29</v>
      </c>
      <c r="F122" s="4">
        <v>115</v>
      </c>
      <c r="G122" s="4">
        <v>138</v>
      </c>
      <c r="H122" s="4">
        <v>97</v>
      </c>
      <c r="I122" s="4">
        <v>98</v>
      </c>
      <c r="J122" s="4">
        <v>2</v>
      </c>
      <c r="K122" s="4">
        <v>3</v>
      </c>
      <c r="L122" s="4">
        <v>3</v>
      </c>
      <c r="M122" s="4">
        <v>443</v>
      </c>
      <c r="O122" s="4">
        <v>120</v>
      </c>
      <c r="P122" s="4">
        <v>133</v>
      </c>
      <c r="Q122" s="4">
        <v>98</v>
      </c>
      <c r="R122" s="4">
        <v>98</v>
      </c>
      <c r="S122" s="4">
        <v>4</v>
      </c>
      <c r="T122" s="4">
        <v>5</v>
      </c>
      <c r="U122" s="4">
        <v>5</v>
      </c>
      <c r="V122" s="4">
        <v>471</v>
      </c>
      <c r="X122" s="4">
        <v>115</v>
      </c>
      <c r="Y122" s="4">
        <v>138</v>
      </c>
      <c r="Z122" s="4">
        <v>98</v>
      </c>
      <c r="AA122" s="4">
        <v>99</v>
      </c>
      <c r="AB122" s="4">
        <v>4</v>
      </c>
      <c r="AC122" s="4">
        <v>5</v>
      </c>
      <c r="AD122" s="4">
        <v>5</v>
      </c>
      <c r="AE122" s="4">
        <v>510</v>
      </c>
      <c r="AF122" s="7">
        <f t="shared" si="7"/>
        <v>579.4357</v>
      </c>
      <c r="AG122" s="7">
        <f t="shared" si="4"/>
        <v>88.016668631221719</v>
      </c>
      <c r="AI122" s="7">
        <f t="shared" si="5"/>
        <v>641.59199999999998</v>
      </c>
      <c r="AK122" s="4">
        <f t="shared" si="6"/>
        <v>90.312176585742961</v>
      </c>
    </row>
    <row r="123" spans="1:37" x14ac:dyDescent="0.2">
      <c r="A123" s="4" t="s">
        <v>198</v>
      </c>
      <c r="B123" s="4">
        <v>0</v>
      </c>
      <c r="C123" s="4">
        <v>169</v>
      </c>
      <c r="D123" s="4">
        <v>36</v>
      </c>
      <c r="E123" s="4">
        <v>22.06</v>
      </c>
      <c r="F123" s="4">
        <v>125</v>
      </c>
      <c r="G123" s="4">
        <v>180</v>
      </c>
      <c r="H123" s="4">
        <v>99</v>
      </c>
      <c r="I123" s="4">
        <v>97</v>
      </c>
      <c r="J123" s="4">
        <v>2</v>
      </c>
      <c r="K123" s="4">
        <v>3</v>
      </c>
      <c r="L123" s="4">
        <v>7</v>
      </c>
      <c r="M123" s="4">
        <v>540</v>
      </c>
      <c r="O123" s="4">
        <v>104</v>
      </c>
      <c r="P123" s="4">
        <v>147</v>
      </c>
      <c r="Q123" s="4">
        <v>98</v>
      </c>
      <c r="R123" s="4">
        <v>98</v>
      </c>
      <c r="S123" s="4">
        <v>0</v>
      </c>
      <c r="T123" s="4">
        <v>5</v>
      </c>
      <c r="U123" s="4">
        <v>6</v>
      </c>
      <c r="V123" s="4">
        <v>580</v>
      </c>
      <c r="X123" s="4">
        <v>114</v>
      </c>
      <c r="Y123" s="4">
        <v>163</v>
      </c>
      <c r="Z123" s="4">
        <v>99</v>
      </c>
      <c r="AA123" s="4">
        <v>97</v>
      </c>
      <c r="AB123" s="4">
        <v>2</v>
      </c>
      <c r="AC123" s="4">
        <v>3</v>
      </c>
      <c r="AD123" s="4">
        <v>5</v>
      </c>
      <c r="AE123" s="4">
        <v>660</v>
      </c>
      <c r="AF123" s="7">
        <f t="shared" si="7"/>
        <v>607.77980000000002</v>
      </c>
      <c r="AG123" s="7">
        <f t="shared" si="4"/>
        <v>108.59196044356854</v>
      </c>
      <c r="AI123" s="7">
        <f t="shared" si="5"/>
        <v>670.221</v>
      </c>
      <c r="AK123" s="4">
        <f t="shared" si="6"/>
        <v>90.683490967904618</v>
      </c>
    </row>
    <row r="124" spans="1:37" x14ac:dyDescent="0.2">
      <c r="A124" s="4" t="s">
        <v>200</v>
      </c>
      <c r="B124" s="4">
        <v>0</v>
      </c>
      <c r="C124" s="4">
        <v>163</v>
      </c>
      <c r="D124" s="4">
        <v>23</v>
      </c>
      <c r="E124" s="4">
        <v>20.2</v>
      </c>
      <c r="F124" s="4">
        <v>105</v>
      </c>
      <c r="G124" s="4">
        <v>141</v>
      </c>
      <c r="H124" s="4">
        <v>92</v>
      </c>
      <c r="I124" s="4">
        <v>97</v>
      </c>
      <c r="J124" s="4">
        <v>2</v>
      </c>
      <c r="K124" s="4">
        <v>3</v>
      </c>
      <c r="L124" s="4">
        <v>5</v>
      </c>
      <c r="M124" s="4">
        <v>620</v>
      </c>
      <c r="O124" s="4">
        <v>90</v>
      </c>
      <c r="P124" s="4">
        <v>121</v>
      </c>
      <c r="Q124" s="4">
        <v>98</v>
      </c>
      <c r="R124" s="4">
        <v>97</v>
      </c>
      <c r="S124" s="4">
        <v>2</v>
      </c>
      <c r="T124" s="4">
        <v>4</v>
      </c>
      <c r="U124" s="4">
        <v>5</v>
      </c>
      <c r="V124" s="4">
        <v>644</v>
      </c>
      <c r="X124" s="4">
        <v>115</v>
      </c>
      <c r="Y124" s="4">
        <v>142</v>
      </c>
      <c r="Z124" s="4">
        <v>96</v>
      </c>
      <c r="AA124" s="4">
        <v>98</v>
      </c>
      <c r="AB124" s="4">
        <v>3</v>
      </c>
      <c r="AC124" s="4">
        <v>6</v>
      </c>
      <c r="AD124" s="4">
        <v>6</v>
      </c>
      <c r="AE124" s="4">
        <v>660</v>
      </c>
      <c r="AF124" s="7">
        <f t="shared" ref="AF124" si="12">890.46-(6.11*D124)+(0.0345*D124*D124)+(48.87*B124) -(4.87*E124)</f>
        <v>669.80650000000003</v>
      </c>
      <c r="AG124" s="7">
        <f t="shared" si="4"/>
        <v>98.535920448666886</v>
      </c>
      <c r="AI124" s="7">
        <f t="shared" ref="AI124" si="13" xml:space="preserve"> 356.658-(2.303*D124)+(36.648*B124)+(1.704*C124)+(1.365*Y124-X124)</f>
        <v>660.27100000000007</v>
      </c>
      <c r="AK124" s="4">
        <f t="shared" si="6"/>
        <v>101.44417973831956</v>
      </c>
    </row>
    <row r="125" spans="1:37" x14ac:dyDescent="0.2">
      <c r="A125" s="4" t="s">
        <v>202</v>
      </c>
      <c r="B125" s="4">
        <v>0</v>
      </c>
      <c r="C125" s="4">
        <v>159</v>
      </c>
      <c r="D125" s="4">
        <v>27</v>
      </c>
      <c r="E125" s="4">
        <v>24.52</v>
      </c>
      <c r="F125" s="4">
        <v>105</v>
      </c>
      <c r="G125" s="4">
        <v>112</v>
      </c>
      <c r="H125" s="4">
        <v>97</v>
      </c>
      <c r="I125" s="4">
        <v>97</v>
      </c>
      <c r="J125" s="4">
        <v>2</v>
      </c>
      <c r="K125" s="4">
        <v>3</v>
      </c>
      <c r="L125" s="4">
        <v>4</v>
      </c>
      <c r="M125" s="4">
        <v>550</v>
      </c>
      <c r="O125" s="4">
        <v>92</v>
      </c>
      <c r="P125" s="4">
        <v>115</v>
      </c>
      <c r="Q125" s="4">
        <v>98</v>
      </c>
      <c r="R125" s="4">
        <v>98</v>
      </c>
      <c r="S125" s="4">
        <v>2</v>
      </c>
      <c r="T125" s="4">
        <v>3</v>
      </c>
      <c r="U125" s="4">
        <v>4</v>
      </c>
      <c r="V125" s="4">
        <v>660</v>
      </c>
      <c r="X125" s="4">
        <v>87</v>
      </c>
      <c r="Y125" s="4">
        <v>114</v>
      </c>
      <c r="Z125" s="4">
        <v>98</v>
      </c>
      <c r="AA125" s="4">
        <v>97</v>
      </c>
      <c r="AB125" s="4">
        <v>0</v>
      </c>
      <c r="AC125" s="4">
        <v>3</v>
      </c>
      <c r="AD125" s="4">
        <v>4</v>
      </c>
      <c r="AE125" s="4">
        <v>600</v>
      </c>
      <c r="AF125" s="7">
        <f t="shared" si="7"/>
        <v>631.22809999999993</v>
      </c>
      <c r="AG125" s="7">
        <f t="shared" si="4"/>
        <v>95.052802623964311</v>
      </c>
      <c r="AI125" s="7">
        <f t="shared" si="5"/>
        <v>634.02300000000002</v>
      </c>
      <c r="AK125" s="4">
        <f t="shared" si="6"/>
        <v>99.559180029746543</v>
      </c>
    </row>
    <row r="126" spans="1:37" x14ac:dyDescent="0.2">
      <c r="A126" s="4" t="s">
        <v>203</v>
      </c>
      <c r="B126" s="4">
        <v>1</v>
      </c>
      <c r="C126" s="4">
        <v>179</v>
      </c>
      <c r="D126" s="4">
        <v>28</v>
      </c>
      <c r="E126" s="4">
        <v>27.15</v>
      </c>
      <c r="F126" s="4">
        <v>106</v>
      </c>
      <c r="G126" s="4">
        <v>147</v>
      </c>
      <c r="H126" s="4">
        <v>97</v>
      </c>
      <c r="I126" s="4">
        <v>98</v>
      </c>
      <c r="J126" s="4">
        <v>5</v>
      </c>
      <c r="K126" s="4">
        <v>6</v>
      </c>
      <c r="L126" s="4">
        <v>8</v>
      </c>
      <c r="M126" s="4">
        <v>590</v>
      </c>
      <c r="O126" s="4">
        <v>120</v>
      </c>
      <c r="P126" s="4">
        <v>140</v>
      </c>
      <c r="Q126" s="4">
        <v>98</v>
      </c>
      <c r="R126" s="4">
        <v>97</v>
      </c>
      <c r="S126" s="4">
        <v>3</v>
      </c>
      <c r="T126" s="4">
        <v>4</v>
      </c>
      <c r="U126" s="4">
        <v>7</v>
      </c>
      <c r="V126" s="4">
        <v>660</v>
      </c>
      <c r="X126" s="4">
        <v>94</v>
      </c>
      <c r="Y126" s="4">
        <v>148</v>
      </c>
      <c r="Z126" s="4">
        <v>97</v>
      </c>
      <c r="AA126" s="4">
        <v>96</v>
      </c>
      <c r="AB126" s="4">
        <v>0</v>
      </c>
      <c r="AC126" s="4">
        <v>3</v>
      </c>
      <c r="AD126" s="4">
        <v>5</v>
      </c>
      <c r="AE126" s="4">
        <v>720</v>
      </c>
      <c r="AF126" s="7">
        <f t="shared" si="7"/>
        <v>663.07749999999999</v>
      </c>
      <c r="AG126" s="7">
        <f t="shared" si="4"/>
        <v>108.58459229878861</v>
      </c>
      <c r="AI126" s="7">
        <f t="shared" si="5"/>
        <v>741.85800000000006</v>
      </c>
      <c r="AK126" s="4">
        <f t="shared" si="6"/>
        <v>89.380649666108596</v>
      </c>
    </row>
    <row r="127" spans="1:37" x14ac:dyDescent="0.2">
      <c r="A127" s="4" t="s">
        <v>204</v>
      </c>
      <c r="B127" s="4">
        <v>0</v>
      </c>
      <c r="C127" s="4">
        <v>156</v>
      </c>
      <c r="D127" s="4">
        <v>33</v>
      </c>
      <c r="E127" s="4">
        <v>27.94</v>
      </c>
      <c r="F127" s="4">
        <v>97</v>
      </c>
      <c r="G127" s="4">
        <v>128</v>
      </c>
      <c r="H127" s="4">
        <v>97</v>
      </c>
      <c r="I127" s="4">
        <v>97</v>
      </c>
      <c r="J127" s="4">
        <v>0</v>
      </c>
      <c r="K127" s="4">
        <v>2</v>
      </c>
      <c r="L127" s="4">
        <v>8</v>
      </c>
      <c r="M127" s="4">
        <v>530</v>
      </c>
      <c r="O127" s="4">
        <v>92</v>
      </c>
      <c r="P127" s="4">
        <v>111</v>
      </c>
      <c r="Q127" s="4">
        <v>98</v>
      </c>
      <c r="R127" s="4">
        <v>98</v>
      </c>
      <c r="S127" s="4">
        <v>1</v>
      </c>
      <c r="T127" s="4">
        <v>4</v>
      </c>
      <c r="U127" s="4">
        <v>8</v>
      </c>
      <c r="V127" s="4">
        <v>507</v>
      </c>
      <c r="X127" s="4">
        <v>86</v>
      </c>
      <c r="Y127" s="4">
        <v>97</v>
      </c>
      <c r="Z127" s="4">
        <v>97</v>
      </c>
      <c r="AA127" s="4">
        <v>97</v>
      </c>
      <c r="AB127" s="4">
        <v>0</v>
      </c>
      <c r="AC127" s="4">
        <v>4</v>
      </c>
      <c r="AD127" s="4">
        <v>7</v>
      </c>
      <c r="AE127" s="4">
        <v>570</v>
      </c>
      <c r="AF127" s="7">
        <f t="shared" si="7"/>
        <v>590.33270000000005</v>
      </c>
      <c r="AG127" s="7">
        <f t="shared" si="4"/>
        <v>96.55572188360901</v>
      </c>
      <c r="AI127" s="7">
        <f t="shared" si="5"/>
        <v>592.88799999999992</v>
      </c>
      <c r="AK127" s="4">
        <f t="shared" si="6"/>
        <v>99.569007974524723</v>
      </c>
    </row>
    <row r="128" spans="1:37" x14ac:dyDescent="0.2">
      <c r="A128" s="4" t="s">
        <v>205</v>
      </c>
      <c r="B128" s="4">
        <v>0</v>
      </c>
      <c r="C128" s="4">
        <v>168</v>
      </c>
      <c r="D128" s="4">
        <v>25</v>
      </c>
      <c r="E128" s="4">
        <v>34.72</v>
      </c>
      <c r="F128" s="4">
        <v>95</v>
      </c>
      <c r="G128" s="4">
        <v>125</v>
      </c>
      <c r="H128" s="4">
        <v>98</v>
      </c>
      <c r="I128" s="4">
        <v>99</v>
      </c>
      <c r="J128" s="4">
        <v>2</v>
      </c>
      <c r="K128" s="4">
        <v>4</v>
      </c>
      <c r="L128" s="4">
        <v>8</v>
      </c>
      <c r="M128" s="4">
        <v>500</v>
      </c>
      <c r="O128" s="4">
        <v>87</v>
      </c>
      <c r="P128" s="4">
        <v>127</v>
      </c>
      <c r="Q128" s="4">
        <v>97</v>
      </c>
      <c r="R128" s="4">
        <v>98</v>
      </c>
      <c r="S128" s="4">
        <v>2</v>
      </c>
      <c r="T128" s="4">
        <v>4</v>
      </c>
      <c r="U128" s="4">
        <v>6</v>
      </c>
      <c r="V128" s="4">
        <v>560</v>
      </c>
      <c r="X128" s="4">
        <v>101</v>
      </c>
      <c r="Y128" s="4">
        <v>127</v>
      </c>
      <c r="Z128" s="4">
        <v>99</v>
      </c>
      <c r="AA128" s="4">
        <v>99</v>
      </c>
      <c r="AB128" s="4">
        <v>0</v>
      </c>
      <c r="AC128" s="4">
        <v>3</v>
      </c>
      <c r="AD128" s="4">
        <v>5</v>
      </c>
      <c r="AE128" s="4">
        <v>525</v>
      </c>
      <c r="AF128" s="7">
        <f t="shared" si="7"/>
        <v>590.18610000000001</v>
      </c>
      <c r="AG128" s="7">
        <f t="shared" si="4"/>
        <v>88.954992332079669</v>
      </c>
      <c r="AI128" s="7">
        <f t="shared" si="5"/>
        <v>657.71</v>
      </c>
      <c r="AK128" s="4">
        <f t="shared" si="6"/>
        <v>89.733484362408973</v>
      </c>
    </row>
    <row r="129" spans="1:37" x14ac:dyDescent="0.2">
      <c r="A129" s="4" t="s">
        <v>207</v>
      </c>
      <c r="B129" s="4">
        <v>1</v>
      </c>
      <c r="C129" s="4">
        <v>181</v>
      </c>
      <c r="D129" s="4">
        <v>22</v>
      </c>
      <c r="E129" s="4">
        <v>30.22</v>
      </c>
      <c r="F129" s="4">
        <v>95</v>
      </c>
      <c r="G129" s="4">
        <v>125</v>
      </c>
      <c r="H129" s="4">
        <v>99</v>
      </c>
      <c r="I129" s="4">
        <v>97</v>
      </c>
      <c r="J129" s="4">
        <v>1</v>
      </c>
      <c r="K129" s="4">
        <v>2</v>
      </c>
      <c r="L129" s="4">
        <v>2</v>
      </c>
      <c r="M129" s="4">
        <v>614</v>
      </c>
      <c r="O129" s="4">
        <v>84</v>
      </c>
      <c r="P129" s="4">
        <v>121</v>
      </c>
      <c r="Q129" s="4">
        <v>97</v>
      </c>
      <c r="R129" s="4">
        <v>97</v>
      </c>
      <c r="S129" s="4">
        <v>1</v>
      </c>
      <c r="T129" s="4">
        <v>2</v>
      </c>
      <c r="U129" s="4">
        <v>2</v>
      </c>
      <c r="V129" s="4">
        <v>640</v>
      </c>
      <c r="X129" s="4">
        <v>86</v>
      </c>
      <c r="Y129" s="4">
        <v>126</v>
      </c>
      <c r="Z129" s="4">
        <v>98</v>
      </c>
      <c r="AA129" s="4">
        <v>98</v>
      </c>
      <c r="AB129" s="4">
        <v>1</v>
      </c>
      <c r="AC129" s="4">
        <v>2</v>
      </c>
      <c r="AD129" s="4">
        <v>3</v>
      </c>
      <c r="AE129" s="4">
        <v>720</v>
      </c>
      <c r="AF129" s="7">
        <f t="shared" si="7"/>
        <v>674.4366</v>
      </c>
      <c r="AG129" s="7">
        <f t="shared" si="4"/>
        <v>106.7557721511555</v>
      </c>
      <c r="AI129" s="7">
        <f t="shared" si="5"/>
        <v>737.05400000000009</v>
      </c>
      <c r="AK129" s="4">
        <f t="shared" si="6"/>
        <v>91.50436738692143</v>
      </c>
    </row>
    <row r="130" spans="1:37" x14ac:dyDescent="0.2">
      <c r="A130" s="4" t="s">
        <v>209</v>
      </c>
      <c r="B130" s="4">
        <v>0</v>
      </c>
      <c r="C130" s="4">
        <v>179</v>
      </c>
      <c r="D130" s="4">
        <v>22</v>
      </c>
      <c r="E130" s="4">
        <v>20.6</v>
      </c>
      <c r="F130" s="4">
        <v>71</v>
      </c>
      <c r="G130" s="4">
        <v>109</v>
      </c>
      <c r="H130" s="4">
        <v>98</v>
      </c>
      <c r="I130" s="4">
        <v>99</v>
      </c>
      <c r="J130" s="4">
        <v>0</v>
      </c>
      <c r="K130" s="4">
        <v>3</v>
      </c>
      <c r="L130" s="4">
        <v>4</v>
      </c>
      <c r="M130" s="4">
        <v>590</v>
      </c>
      <c r="O130" s="4">
        <v>71</v>
      </c>
      <c r="P130" s="4">
        <v>91</v>
      </c>
      <c r="Q130" s="4">
        <v>99</v>
      </c>
      <c r="R130" s="4">
        <v>99</v>
      </c>
      <c r="S130" s="4">
        <v>0</v>
      </c>
      <c r="T130" s="4">
        <v>2</v>
      </c>
      <c r="U130" s="4">
        <v>5</v>
      </c>
      <c r="V130" s="4">
        <v>560</v>
      </c>
      <c r="X130" s="4">
        <v>85</v>
      </c>
      <c r="Y130" s="4">
        <v>101</v>
      </c>
      <c r="Z130" s="4">
        <v>98</v>
      </c>
      <c r="AA130" s="4">
        <v>99</v>
      </c>
      <c r="AB130" s="4">
        <v>0</v>
      </c>
      <c r="AC130" s="4">
        <v>4</v>
      </c>
      <c r="AD130" s="4">
        <v>5</v>
      </c>
      <c r="AE130" s="4">
        <v>756</v>
      </c>
      <c r="AF130" s="7">
        <f t="shared" si="7"/>
        <v>672.41599999999994</v>
      </c>
      <c r="AG130" s="7">
        <f t="shared" si="4"/>
        <v>112.43040022843003</v>
      </c>
      <c r="AI130" s="7">
        <f t="shared" si="5"/>
        <v>663.87300000000005</v>
      </c>
      <c r="AK130" s="4">
        <f t="shared" si="6"/>
        <v>101.28684251355303</v>
      </c>
    </row>
    <row r="131" spans="1:37" x14ac:dyDescent="0.2">
      <c r="A131" s="4" t="s">
        <v>210</v>
      </c>
      <c r="B131" s="4">
        <v>0</v>
      </c>
      <c r="C131" s="4">
        <v>170</v>
      </c>
      <c r="D131" s="4">
        <v>22</v>
      </c>
      <c r="E131" s="4">
        <v>20.84</v>
      </c>
      <c r="F131" s="4">
        <v>102</v>
      </c>
      <c r="G131" s="4">
        <v>106</v>
      </c>
      <c r="H131" s="4">
        <v>97</v>
      </c>
      <c r="I131" s="4">
        <v>98</v>
      </c>
      <c r="J131" s="4">
        <v>1</v>
      </c>
      <c r="K131" s="4">
        <v>2</v>
      </c>
      <c r="L131" s="4">
        <v>3</v>
      </c>
      <c r="M131" s="4">
        <v>556</v>
      </c>
      <c r="O131" s="4">
        <v>101</v>
      </c>
      <c r="P131" s="4">
        <v>127</v>
      </c>
      <c r="Q131" s="4">
        <v>98</v>
      </c>
      <c r="R131" s="4">
        <v>98</v>
      </c>
      <c r="S131" s="4">
        <v>1</v>
      </c>
      <c r="T131" s="4">
        <v>1</v>
      </c>
      <c r="U131" s="4">
        <v>1</v>
      </c>
      <c r="V131" s="4">
        <v>580</v>
      </c>
      <c r="X131" s="4">
        <v>85</v>
      </c>
      <c r="Y131" s="4">
        <v>127</v>
      </c>
      <c r="Z131" s="4">
        <v>97</v>
      </c>
      <c r="AA131" s="4">
        <v>96</v>
      </c>
      <c r="AB131" s="4">
        <v>0</v>
      </c>
      <c r="AC131" s="4">
        <v>2</v>
      </c>
      <c r="AD131" s="4">
        <v>2</v>
      </c>
      <c r="AE131" s="4">
        <v>635</v>
      </c>
      <c r="AF131" s="7">
        <f t="shared" si="7"/>
        <v>671.24719999999991</v>
      </c>
      <c r="AG131" s="7">
        <f t="shared" si="4"/>
        <v>94.600022167690241</v>
      </c>
      <c r="AI131" s="7">
        <f t="shared" ref="AI131:AI162" si="14" xml:space="preserve"> 356.658-(2.303*D131)+(36.648*B131)+(1.704*C131)+(1.365*Y131-X131)</f>
        <v>684.02700000000004</v>
      </c>
      <c r="AK131" s="4">
        <f t="shared" si="6"/>
        <v>98.13168193653172</v>
      </c>
    </row>
    <row r="132" spans="1:37" x14ac:dyDescent="0.2">
      <c r="A132" s="4" t="s">
        <v>212</v>
      </c>
      <c r="B132" s="4">
        <v>0</v>
      </c>
      <c r="C132" s="4">
        <v>165</v>
      </c>
      <c r="D132" s="4">
        <v>20</v>
      </c>
      <c r="E132" s="4">
        <v>18</v>
      </c>
      <c r="F132" s="4">
        <v>103</v>
      </c>
      <c r="G132" s="4">
        <v>154</v>
      </c>
      <c r="H132" s="4">
        <v>99</v>
      </c>
      <c r="I132" s="4">
        <v>93</v>
      </c>
      <c r="J132" s="4">
        <v>0</v>
      </c>
      <c r="K132" s="4">
        <v>0</v>
      </c>
      <c r="L132" s="4">
        <v>0</v>
      </c>
      <c r="M132" s="4">
        <v>590</v>
      </c>
      <c r="O132" s="4">
        <v>127</v>
      </c>
      <c r="P132" s="4">
        <v>153</v>
      </c>
      <c r="Q132" s="4">
        <v>98</v>
      </c>
      <c r="R132" s="4">
        <v>99</v>
      </c>
      <c r="S132" s="4">
        <v>0</v>
      </c>
      <c r="T132" s="4">
        <v>0</v>
      </c>
      <c r="U132" s="4">
        <v>0</v>
      </c>
      <c r="V132" s="4">
        <v>633</v>
      </c>
      <c r="X132" s="4">
        <v>104</v>
      </c>
      <c r="Y132" s="4">
        <v>151</v>
      </c>
      <c r="Z132" s="4">
        <v>99</v>
      </c>
      <c r="AA132" s="4">
        <v>99</v>
      </c>
      <c r="AB132" s="4">
        <v>0</v>
      </c>
      <c r="AC132" s="4">
        <v>0</v>
      </c>
      <c r="AD132" s="4">
        <v>0</v>
      </c>
      <c r="AE132" s="4">
        <v>785</v>
      </c>
      <c r="AF132" s="7">
        <f t="shared" si="7"/>
        <v>694.4</v>
      </c>
      <c r="AG132" s="7">
        <f t="shared" ref="AG132:AG192" si="15">AE132/AF132*100</f>
        <v>113.04723502304148</v>
      </c>
      <c r="AI132" s="7">
        <f t="shared" si="14"/>
        <v>693.87300000000005</v>
      </c>
      <c r="AK132" s="4">
        <f t="shared" ref="AK132:AK192" si="16">AF132/AI132*100</f>
        <v>100.0759504981459</v>
      </c>
    </row>
    <row r="133" spans="1:37" x14ac:dyDescent="0.2">
      <c r="A133" s="4" t="s">
        <v>215</v>
      </c>
      <c r="B133" s="4">
        <v>0</v>
      </c>
      <c r="C133" s="4">
        <v>163</v>
      </c>
      <c r="D133" s="4">
        <v>24</v>
      </c>
      <c r="E133" s="4">
        <v>17.690000000000001</v>
      </c>
      <c r="F133" s="4">
        <v>92</v>
      </c>
      <c r="G133" s="4">
        <v>150</v>
      </c>
      <c r="H133" s="4">
        <v>98</v>
      </c>
      <c r="I133" s="4">
        <v>99</v>
      </c>
      <c r="J133" s="4">
        <v>1</v>
      </c>
      <c r="K133" s="4">
        <v>3</v>
      </c>
      <c r="L133" s="4">
        <v>3</v>
      </c>
      <c r="M133" s="4">
        <v>590</v>
      </c>
      <c r="O133" s="4">
        <v>104</v>
      </c>
      <c r="P133" s="4">
        <v>138</v>
      </c>
      <c r="Q133" s="4">
        <v>99</v>
      </c>
      <c r="R133" s="4">
        <v>99</v>
      </c>
      <c r="S133" s="4">
        <v>0</v>
      </c>
      <c r="T133" s="4">
        <v>3</v>
      </c>
      <c r="U133" s="4">
        <v>5</v>
      </c>
      <c r="V133" s="4">
        <v>700</v>
      </c>
      <c r="X133" s="4">
        <v>116</v>
      </c>
      <c r="Y133" s="4">
        <v>144</v>
      </c>
      <c r="Z133" s="4">
        <v>98</v>
      </c>
      <c r="AA133" s="4">
        <v>99</v>
      </c>
      <c r="AB133" s="4">
        <v>0</v>
      </c>
      <c r="AC133" s="4">
        <v>3</v>
      </c>
      <c r="AD133" s="4">
        <v>5</v>
      </c>
      <c r="AE133" s="4">
        <v>709</v>
      </c>
      <c r="AF133" s="7">
        <f t="shared" si="7"/>
        <v>677.54169999999999</v>
      </c>
      <c r="AG133" s="7">
        <f t="shared" si="15"/>
        <v>104.64300573676869</v>
      </c>
      <c r="AI133" s="7">
        <f t="shared" si="14"/>
        <v>659.69800000000009</v>
      </c>
      <c r="AK133" s="4">
        <f t="shared" si="16"/>
        <v>102.70482857307432</v>
      </c>
    </row>
    <row r="134" spans="1:37" x14ac:dyDescent="0.2">
      <c r="A134" s="4" t="s">
        <v>216</v>
      </c>
      <c r="B134" s="4">
        <v>1</v>
      </c>
      <c r="C134" s="4">
        <v>176</v>
      </c>
      <c r="D134" s="4">
        <v>31</v>
      </c>
      <c r="E134" s="4">
        <v>25.18</v>
      </c>
      <c r="F134" s="4">
        <v>98</v>
      </c>
      <c r="G134" s="4">
        <v>119</v>
      </c>
      <c r="H134" s="4">
        <v>97</v>
      </c>
      <c r="I134" s="4">
        <v>99</v>
      </c>
      <c r="J134" s="4">
        <v>1</v>
      </c>
      <c r="K134" s="4">
        <v>2</v>
      </c>
      <c r="L134" s="4">
        <v>3</v>
      </c>
      <c r="M134" s="4">
        <v>604</v>
      </c>
      <c r="O134" s="4">
        <v>100</v>
      </c>
      <c r="P134" s="4">
        <v>116</v>
      </c>
      <c r="Q134" s="4">
        <v>97</v>
      </c>
      <c r="R134" s="4">
        <v>96</v>
      </c>
      <c r="S134" s="4">
        <v>0</v>
      </c>
      <c r="T134" s="4">
        <v>2</v>
      </c>
      <c r="U134" s="4">
        <v>2</v>
      </c>
      <c r="V134" s="4">
        <v>653</v>
      </c>
      <c r="X134" s="4">
        <v>76</v>
      </c>
      <c r="Y134" s="4">
        <v>143</v>
      </c>
      <c r="Z134" s="4">
        <v>97</v>
      </c>
      <c r="AA134" s="4">
        <v>99</v>
      </c>
      <c r="AB134" s="4">
        <v>0</v>
      </c>
      <c r="AC134" s="4">
        <v>2</v>
      </c>
      <c r="AD134" s="4">
        <v>2</v>
      </c>
      <c r="AE134" s="4">
        <v>792</v>
      </c>
      <c r="AF134" s="7">
        <f t="shared" si="7"/>
        <v>660.44790000000012</v>
      </c>
      <c r="AG134" s="7">
        <f t="shared" si="15"/>
        <v>119.91861886456144</v>
      </c>
      <c r="AI134" s="7">
        <f t="shared" si="14"/>
        <v>741.01199999999994</v>
      </c>
      <c r="AK134" s="4">
        <f t="shared" si="16"/>
        <v>89.127827889426911</v>
      </c>
    </row>
    <row r="135" spans="1:37" x14ac:dyDescent="0.2">
      <c r="A135" s="4" t="s">
        <v>217</v>
      </c>
      <c r="B135" s="4">
        <v>0</v>
      </c>
      <c r="C135" s="4">
        <v>156</v>
      </c>
      <c r="D135" s="4">
        <v>25</v>
      </c>
      <c r="E135" s="4">
        <v>23.42</v>
      </c>
      <c r="F135" s="4">
        <v>78</v>
      </c>
      <c r="G135" s="4">
        <v>124</v>
      </c>
      <c r="H135" s="4">
        <v>97</v>
      </c>
      <c r="I135" s="4">
        <v>97</v>
      </c>
      <c r="J135" s="4">
        <v>2</v>
      </c>
      <c r="K135" s="4">
        <v>3</v>
      </c>
      <c r="L135" s="4">
        <v>5</v>
      </c>
      <c r="M135" s="4">
        <v>523</v>
      </c>
      <c r="O135" s="4">
        <v>87</v>
      </c>
      <c r="P135" s="4">
        <v>127</v>
      </c>
      <c r="Q135" s="4">
        <v>98</v>
      </c>
      <c r="R135" s="4">
        <v>96</v>
      </c>
      <c r="S135" s="4">
        <v>3</v>
      </c>
      <c r="T135" s="4">
        <v>6</v>
      </c>
      <c r="U135" s="4">
        <v>6</v>
      </c>
      <c r="V135" s="4">
        <v>600</v>
      </c>
      <c r="X135" s="4">
        <v>66</v>
      </c>
      <c r="Y135" s="4">
        <v>105</v>
      </c>
      <c r="Z135" s="4">
        <v>98</v>
      </c>
      <c r="AA135" s="4">
        <v>98</v>
      </c>
      <c r="AB135" s="4">
        <v>0</v>
      </c>
      <c r="AC135" s="4">
        <v>3</v>
      </c>
      <c r="AD135" s="4">
        <v>5</v>
      </c>
      <c r="AE135" s="4">
        <v>676</v>
      </c>
      <c r="AF135" s="7">
        <f t="shared" si="7"/>
        <v>645.21710000000007</v>
      </c>
      <c r="AG135" s="7">
        <f t="shared" si="15"/>
        <v>104.77093679011296</v>
      </c>
      <c r="AI135" s="7">
        <f t="shared" si="14"/>
        <v>642.23199999999997</v>
      </c>
      <c r="AK135" s="4">
        <f t="shared" si="16"/>
        <v>100.4648008819243</v>
      </c>
    </row>
    <row r="136" spans="1:37" x14ac:dyDescent="0.2">
      <c r="A136" s="4" t="s">
        <v>219</v>
      </c>
      <c r="B136" s="4">
        <v>0</v>
      </c>
      <c r="C136" s="4">
        <v>163</v>
      </c>
      <c r="D136" s="4">
        <v>36</v>
      </c>
      <c r="E136" s="4">
        <v>25.59</v>
      </c>
      <c r="F136" s="4">
        <v>97</v>
      </c>
      <c r="G136" s="4">
        <v>118</v>
      </c>
      <c r="H136" s="4">
        <v>97</v>
      </c>
      <c r="I136" s="4">
        <v>97</v>
      </c>
      <c r="J136" s="4">
        <v>2</v>
      </c>
      <c r="K136" s="4">
        <v>4</v>
      </c>
      <c r="L136" s="4">
        <v>5</v>
      </c>
      <c r="M136" s="4">
        <v>523</v>
      </c>
      <c r="O136" s="4">
        <v>89</v>
      </c>
      <c r="P136" s="4">
        <v>128</v>
      </c>
      <c r="Q136" s="4">
        <v>99</v>
      </c>
      <c r="R136" s="4">
        <v>98</v>
      </c>
      <c r="S136" s="4">
        <v>3</v>
      </c>
      <c r="T136" s="4">
        <v>4</v>
      </c>
      <c r="U136" s="4">
        <v>6</v>
      </c>
      <c r="V136" s="4">
        <v>572</v>
      </c>
      <c r="X136" s="4">
        <v>67</v>
      </c>
      <c r="Y136" s="4">
        <v>118</v>
      </c>
      <c r="Z136" s="4">
        <v>97</v>
      </c>
      <c r="AA136" s="4">
        <v>97</v>
      </c>
      <c r="AB136" s="4">
        <v>2</v>
      </c>
      <c r="AC136" s="4">
        <v>4</v>
      </c>
      <c r="AD136" s="4">
        <v>6</v>
      </c>
      <c r="AE136" s="4">
        <v>615</v>
      </c>
      <c r="AF136" s="7">
        <f t="shared" si="7"/>
        <v>590.58870000000002</v>
      </c>
      <c r="AG136" s="7">
        <f t="shared" si="15"/>
        <v>104.13338419783513</v>
      </c>
      <c r="AI136" s="7">
        <f t="shared" si="14"/>
        <v>645.57199999999989</v>
      </c>
      <c r="AK136" s="4">
        <f t="shared" si="16"/>
        <v>91.483010415569467</v>
      </c>
    </row>
    <row r="137" spans="1:37" x14ac:dyDescent="0.2">
      <c r="A137" s="4" t="s">
        <v>220</v>
      </c>
      <c r="B137" s="4">
        <v>1</v>
      </c>
      <c r="C137" s="4">
        <v>172</v>
      </c>
      <c r="D137" s="4">
        <v>22</v>
      </c>
      <c r="E137" s="4">
        <v>27.04</v>
      </c>
      <c r="F137" s="4">
        <v>107</v>
      </c>
      <c r="G137" s="4">
        <v>176</v>
      </c>
      <c r="H137" s="4">
        <v>96</v>
      </c>
      <c r="I137" s="4">
        <v>98</v>
      </c>
      <c r="J137" s="4">
        <v>0</v>
      </c>
      <c r="K137" s="4">
        <v>0</v>
      </c>
      <c r="L137" s="4">
        <v>3</v>
      </c>
      <c r="M137" s="4">
        <v>520</v>
      </c>
      <c r="O137" s="4">
        <v>102</v>
      </c>
      <c r="P137" s="4">
        <v>158</v>
      </c>
      <c r="Q137" s="4">
        <v>98</v>
      </c>
      <c r="R137" s="4">
        <v>97</v>
      </c>
      <c r="S137" s="4">
        <v>0</v>
      </c>
      <c r="T137" s="4">
        <v>0</v>
      </c>
      <c r="U137" s="4">
        <v>1</v>
      </c>
      <c r="V137" s="4">
        <v>620</v>
      </c>
      <c r="X137" s="4">
        <v>90</v>
      </c>
      <c r="Y137" s="4">
        <v>150</v>
      </c>
      <c r="Z137" s="4">
        <v>99</v>
      </c>
      <c r="AA137" s="4">
        <v>97</v>
      </c>
      <c r="AB137" s="4">
        <v>0</v>
      </c>
      <c r="AC137" s="4">
        <v>4</v>
      </c>
      <c r="AD137" s="4">
        <v>4</v>
      </c>
      <c r="AE137" s="4">
        <v>630</v>
      </c>
      <c r="AF137" s="7">
        <f t="shared" si="7"/>
        <v>689.92319999999995</v>
      </c>
      <c r="AG137" s="7">
        <f t="shared" si="15"/>
        <v>91.314511528239677</v>
      </c>
      <c r="AI137" s="7">
        <f t="shared" si="14"/>
        <v>750.47800000000007</v>
      </c>
      <c r="AK137" s="4">
        <f t="shared" si="16"/>
        <v>91.931169201495564</v>
      </c>
    </row>
    <row r="138" spans="1:37" x14ac:dyDescent="0.2">
      <c r="A138" s="4" t="s">
        <v>222</v>
      </c>
      <c r="B138" s="4">
        <v>0</v>
      </c>
      <c r="C138" s="4">
        <v>159</v>
      </c>
      <c r="D138" s="4">
        <v>31</v>
      </c>
      <c r="E138" s="4">
        <v>20.96</v>
      </c>
      <c r="F138" s="4">
        <v>125</v>
      </c>
      <c r="G138" s="4">
        <v>141</v>
      </c>
      <c r="H138" s="4">
        <v>97</v>
      </c>
      <c r="I138" s="4">
        <v>97</v>
      </c>
      <c r="J138" s="4">
        <v>0</v>
      </c>
      <c r="K138" s="4">
        <v>0</v>
      </c>
      <c r="L138" s="4">
        <v>0</v>
      </c>
      <c r="M138" s="4">
        <v>410</v>
      </c>
      <c r="O138" s="4">
        <v>124</v>
      </c>
      <c r="P138" s="4">
        <v>150</v>
      </c>
      <c r="Q138" s="4">
        <v>98</v>
      </c>
      <c r="R138" s="4">
        <v>98</v>
      </c>
      <c r="S138" s="4">
        <v>0</v>
      </c>
      <c r="T138" s="4">
        <v>0</v>
      </c>
      <c r="U138" s="4">
        <v>0</v>
      </c>
      <c r="V138" s="4">
        <v>534</v>
      </c>
      <c r="X138" s="4">
        <v>115</v>
      </c>
      <c r="Y138" s="4">
        <v>153</v>
      </c>
      <c r="Z138" s="4">
        <v>97</v>
      </c>
      <c r="AA138" s="4">
        <v>99</v>
      </c>
      <c r="AB138" s="4">
        <v>0</v>
      </c>
      <c r="AC138" s="4">
        <v>0</v>
      </c>
      <c r="AD138" s="4">
        <v>0</v>
      </c>
      <c r="AE138" s="4">
        <v>600</v>
      </c>
      <c r="AF138" s="7">
        <f t="shared" si="7"/>
        <v>632.12930000000006</v>
      </c>
      <c r="AG138" s="7">
        <f t="shared" si="15"/>
        <v>94.917289864589407</v>
      </c>
      <c r="AI138" s="7">
        <f t="shared" si="14"/>
        <v>650.04600000000005</v>
      </c>
      <c r="AK138" s="4">
        <f t="shared" si="16"/>
        <v>97.243779670977133</v>
      </c>
    </row>
    <row r="139" spans="1:37" x14ac:dyDescent="0.2">
      <c r="A139" s="4" t="s">
        <v>224</v>
      </c>
      <c r="B139" s="4">
        <v>0</v>
      </c>
      <c r="C139" s="4">
        <v>158</v>
      </c>
      <c r="D139" s="4">
        <v>29</v>
      </c>
      <c r="E139" s="4">
        <v>27.24</v>
      </c>
      <c r="F139" s="4">
        <v>95</v>
      </c>
      <c r="G139" s="4">
        <v>116</v>
      </c>
      <c r="H139" s="4">
        <v>98</v>
      </c>
      <c r="I139" s="4">
        <v>97</v>
      </c>
      <c r="J139" s="4">
        <v>3</v>
      </c>
      <c r="K139" s="4">
        <v>4</v>
      </c>
      <c r="L139" s="4">
        <v>5</v>
      </c>
      <c r="M139" s="4">
        <v>510</v>
      </c>
      <c r="O139" s="4">
        <v>91</v>
      </c>
      <c r="P139" s="4">
        <v>105</v>
      </c>
      <c r="Q139" s="4">
        <v>98</v>
      </c>
      <c r="R139" s="4">
        <v>98</v>
      </c>
      <c r="S139" s="4">
        <v>4</v>
      </c>
      <c r="T139" s="4">
        <v>5</v>
      </c>
      <c r="U139" s="4">
        <v>5</v>
      </c>
      <c r="V139" s="4">
        <v>620</v>
      </c>
      <c r="X139" s="4">
        <v>86</v>
      </c>
      <c r="Y139" s="4">
        <v>110</v>
      </c>
      <c r="Z139" s="4">
        <v>97</v>
      </c>
      <c r="AA139" s="4">
        <v>97</v>
      </c>
      <c r="AB139" s="4">
        <v>3</v>
      </c>
      <c r="AC139" s="4">
        <v>6</v>
      </c>
      <c r="AD139" s="4">
        <v>7</v>
      </c>
      <c r="AE139" s="4">
        <v>707</v>
      </c>
      <c r="AF139" s="7">
        <f t="shared" si="7"/>
        <v>609.62570000000005</v>
      </c>
      <c r="AG139" s="7">
        <f t="shared" si="15"/>
        <v>115.97280101544274</v>
      </c>
      <c r="AI139" s="7">
        <f t="shared" si="14"/>
        <v>623.25300000000004</v>
      </c>
      <c r="AK139" s="4">
        <f t="shared" si="16"/>
        <v>97.813520352088162</v>
      </c>
    </row>
    <row r="140" spans="1:37" x14ac:dyDescent="0.2">
      <c r="A140" s="4" t="s">
        <v>225</v>
      </c>
      <c r="B140" s="4">
        <v>1</v>
      </c>
      <c r="C140" s="4">
        <v>175</v>
      </c>
      <c r="D140" s="4">
        <v>29</v>
      </c>
      <c r="E140" s="4">
        <v>27.76</v>
      </c>
      <c r="F140" s="4">
        <v>139</v>
      </c>
      <c r="G140" s="4">
        <v>167</v>
      </c>
      <c r="H140" s="4">
        <v>96</v>
      </c>
      <c r="I140" s="4">
        <v>99</v>
      </c>
      <c r="J140" s="4">
        <v>5</v>
      </c>
      <c r="K140" s="4">
        <v>5</v>
      </c>
      <c r="L140" s="4">
        <v>7</v>
      </c>
      <c r="M140" s="4">
        <v>620</v>
      </c>
      <c r="O140" s="4">
        <v>126</v>
      </c>
      <c r="P140" s="4">
        <v>160</v>
      </c>
      <c r="Q140" s="4">
        <v>96</v>
      </c>
      <c r="R140" s="4">
        <v>97</v>
      </c>
      <c r="S140" s="4">
        <v>4</v>
      </c>
      <c r="T140" s="4">
        <v>6</v>
      </c>
      <c r="U140" s="4">
        <v>7</v>
      </c>
      <c r="V140" s="4">
        <v>640</v>
      </c>
      <c r="X140" s="4">
        <v>125</v>
      </c>
      <c r="Y140" s="4">
        <v>137</v>
      </c>
      <c r="Z140" s="4">
        <v>94</v>
      </c>
      <c r="AA140" s="4">
        <v>97</v>
      </c>
      <c r="AB140" s="4">
        <v>4</v>
      </c>
      <c r="AC140" s="4">
        <v>6</v>
      </c>
      <c r="AD140" s="4">
        <v>7</v>
      </c>
      <c r="AE140" s="4">
        <v>714</v>
      </c>
      <c r="AF140" s="7">
        <f t="shared" si="7"/>
        <v>655.9633</v>
      </c>
      <c r="AG140" s="7">
        <f t="shared" si="15"/>
        <v>108.84755290425548</v>
      </c>
      <c r="AI140" s="7">
        <f t="shared" si="14"/>
        <v>686.72400000000005</v>
      </c>
      <c r="AK140" s="4">
        <f t="shared" si="16"/>
        <v>95.520660410878307</v>
      </c>
    </row>
    <row r="141" spans="1:37" x14ac:dyDescent="0.2">
      <c r="A141" s="4" t="s">
        <v>228</v>
      </c>
      <c r="B141" s="4">
        <v>0</v>
      </c>
      <c r="C141" s="4">
        <v>166</v>
      </c>
      <c r="D141" s="4">
        <v>24</v>
      </c>
      <c r="E141" s="4">
        <v>21.41</v>
      </c>
      <c r="F141" s="4">
        <v>110</v>
      </c>
      <c r="G141" s="4">
        <v>135</v>
      </c>
      <c r="H141" s="4">
        <v>98</v>
      </c>
      <c r="I141" s="4">
        <v>98</v>
      </c>
      <c r="J141" s="4">
        <v>3</v>
      </c>
      <c r="K141" s="4">
        <v>5</v>
      </c>
      <c r="L141" s="4">
        <v>5</v>
      </c>
      <c r="M141" s="4">
        <v>560</v>
      </c>
      <c r="O141" s="4">
        <v>112</v>
      </c>
      <c r="P141" s="4">
        <v>132</v>
      </c>
      <c r="Q141" s="4">
        <v>98</v>
      </c>
      <c r="R141" s="4">
        <v>98</v>
      </c>
      <c r="S141" s="4">
        <v>3</v>
      </c>
      <c r="T141" s="4">
        <v>7</v>
      </c>
      <c r="U141" s="4">
        <v>8</v>
      </c>
      <c r="V141" s="4">
        <v>569</v>
      </c>
      <c r="X141" s="4">
        <v>89</v>
      </c>
      <c r="Y141" s="4">
        <v>133</v>
      </c>
      <c r="Z141" s="4">
        <v>99</v>
      </c>
      <c r="AA141" s="4">
        <v>99</v>
      </c>
      <c r="AB141" s="4">
        <v>3</v>
      </c>
      <c r="AC141" s="4">
        <v>5</v>
      </c>
      <c r="AD141" s="4">
        <v>7</v>
      </c>
      <c r="AE141" s="4">
        <v>600</v>
      </c>
      <c r="AF141" s="7">
        <f t="shared" si="7"/>
        <v>659.42529999999999</v>
      </c>
      <c r="AG141" s="7">
        <f t="shared" si="15"/>
        <v>90.988319677755769</v>
      </c>
      <c r="AI141" s="7">
        <f t="shared" si="14"/>
        <v>676.79499999999996</v>
      </c>
      <c r="AK141" s="4">
        <f t="shared" si="16"/>
        <v>97.433536004255345</v>
      </c>
    </row>
    <row r="142" spans="1:37" x14ac:dyDescent="0.2">
      <c r="A142" s="4" t="s">
        <v>230</v>
      </c>
      <c r="B142" s="4">
        <v>0</v>
      </c>
      <c r="C142" s="4">
        <v>167</v>
      </c>
      <c r="D142" s="4">
        <v>25</v>
      </c>
      <c r="E142" s="4">
        <v>21.51</v>
      </c>
      <c r="F142" s="4">
        <v>100</v>
      </c>
      <c r="G142" s="4">
        <v>125</v>
      </c>
      <c r="H142" s="4">
        <v>98</v>
      </c>
      <c r="I142" s="4">
        <v>98</v>
      </c>
      <c r="J142" s="4">
        <v>2</v>
      </c>
      <c r="K142" s="4">
        <v>3</v>
      </c>
      <c r="L142" s="4">
        <v>3</v>
      </c>
      <c r="M142" s="4">
        <v>600</v>
      </c>
      <c r="O142" s="4">
        <v>111</v>
      </c>
      <c r="P142" s="4">
        <v>137</v>
      </c>
      <c r="Q142" s="4">
        <v>98</v>
      </c>
      <c r="R142" s="4">
        <v>98</v>
      </c>
      <c r="S142" s="4">
        <v>2</v>
      </c>
      <c r="T142" s="4">
        <v>3</v>
      </c>
      <c r="U142" s="4">
        <v>4</v>
      </c>
      <c r="V142" s="4">
        <v>660</v>
      </c>
      <c r="X142" s="4">
        <v>101</v>
      </c>
      <c r="Y142" s="4">
        <v>145</v>
      </c>
      <c r="Z142" s="4">
        <v>99</v>
      </c>
      <c r="AA142" s="4">
        <v>98</v>
      </c>
      <c r="AB142" s="4">
        <v>2</v>
      </c>
      <c r="AC142" s="4">
        <v>3</v>
      </c>
      <c r="AD142" s="4">
        <v>5</v>
      </c>
      <c r="AE142" s="4">
        <v>690</v>
      </c>
      <c r="AF142" s="7">
        <f t="shared" si="7"/>
        <v>654.51880000000006</v>
      </c>
      <c r="AG142" s="7">
        <f t="shared" si="15"/>
        <v>105.4209596424121</v>
      </c>
      <c r="AI142" s="7">
        <f t="shared" si="14"/>
        <v>680.57600000000002</v>
      </c>
      <c r="AK142" s="4">
        <f t="shared" si="16"/>
        <v>96.171301955990231</v>
      </c>
    </row>
    <row r="143" spans="1:37" x14ac:dyDescent="0.2">
      <c r="A143" s="4" t="s">
        <v>232</v>
      </c>
      <c r="B143" s="4">
        <v>1</v>
      </c>
      <c r="C143" s="4">
        <v>180</v>
      </c>
      <c r="D143" s="4">
        <v>24</v>
      </c>
      <c r="E143" s="4">
        <v>23.46</v>
      </c>
      <c r="F143" s="4">
        <v>92</v>
      </c>
      <c r="G143" s="4">
        <v>128</v>
      </c>
      <c r="H143" s="4">
        <v>99</v>
      </c>
      <c r="I143" s="4">
        <v>98</v>
      </c>
      <c r="J143" s="4">
        <v>0</v>
      </c>
      <c r="K143" s="4">
        <v>4</v>
      </c>
      <c r="L143" s="4">
        <v>7</v>
      </c>
      <c r="M143" s="4">
        <v>640</v>
      </c>
      <c r="O143" s="4">
        <v>98</v>
      </c>
      <c r="P143" s="4">
        <v>119</v>
      </c>
      <c r="Q143" s="4">
        <v>96</v>
      </c>
      <c r="R143" s="4">
        <v>98</v>
      </c>
      <c r="S143" s="4">
        <v>0</v>
      </c>
      <c r="T143" s="4">
        <v>7</v>
      </c>
      <c r="U143" s="4">
        <v>8</v>
      </c>
      <c r="V143" s="4">
        <v>674</v>
      </c>
      <c r="X143" s="4">
        <v>108</v>
      </c>
      <c r="Y143" s="4">
        <v>112</v>
      </c>
      <c r="Z143" s="4">
        <v>98</v>
      </c>
      <c r="AA143" s="4">
        <v>98</v>
      </c>
      <c r="AB143" s="4">
        <v>0</v>
      </c>
      <c r="AC143" s="4">
        <v>3</v>
      </c>
      <c r="AD143" s="4">
        <v>6</v>
      </c>
      <c r="AE143" s="4">
        <v>600</v>
      </c>
      <c r="AF143" s="7">
        <f t="shared" si="7"/>
        <v>698.31179999999995</v>
      </c>
      <c r="AG143" s="7">
        <f t="shared" si="15"/>
        <v>85.921503832528686</v>
      </c>
      <c r="AI143" s="7">
        <f t="shared" si="14"/>
        <v>689.63400000000001</v>
      </c>
      <c r="AK143" s="4">
        <f t="shared" si="16"/>
        <v>101.25831963041266</v>
      </c>
    </row>
    <row r="144" spans="1:37" x14ac:dyDescent="0.2">
      <c r="A144" s="4" t="s">
        <v>233</v>
      </c>
      <c r="B144" s="4">
        <v>0</v>
      </c>
      <c r="C144" s="4">
        <v>171</v>
      </c>
      <c r="D144" s="4">
        <v>21</v>
      </c>
      <c r="E144" s="4">
        <v>28.73</v>
      </c>
      <c r="F144" s="4">
        <v>111</v>
      </c>
      <c r="G144" s="4">
        <v>119</v>
      </c>
      <c r="H144" s="4">
        <v>97</v>
      </c>
      <c r="I144" s="4">
        <v>98</v>
      </c>
      <c r="J144" s="4">
        <v>0</v>
      </c>
      <c r="K144" s="4">
        <v>3</v>
      </c>
      <c r="L144" s="4">
        <v>4</v>
      </c>
      <c r="M144" s="4">
        <v>640</v>
      </c>
      <c r="O144" s="4">
        <v>106</v>
      </c>
      <c r="P144" s="4">
        <v>162</v>
      </c>
      <c r="Q144" s="4">
        <v>98</v>
      </c>
      <c r="R144" s="4">
        <v>98</v>
      </c>
      <c r="S144" s="4">
        <v>0</v>
      </c>
      <c r="T144" s="4">
        <v>5</v>
      </c>
      <c r="U144" s="4">
        <v>6</v>
      </c>
      <c r="V144" s="4">
        <v>660</v>
      </c>
      <c r="X144" s="4">
        <v>79</v>
      </c>
      <c r="Y144" s="4">
        <v>168</v>
      </c>
      <c r="Z144" s="4">
        <v>98</v>
      </c>
      <c r="AA144" s="4">
        <v>96</v>
      </c>
      <c r="AB144" s="4">
        <v>0</v>
      </c>
      <c r="AC144" s="4">
        <v>4</v>
      </c>
      <c r="AD144" s="4">
        <v>5</v>
      </c>
      <c r="AE144" s="4">
        <v>660</v>
      </c>
      <c r="AF144" s="7">
        <f t="shared" si="7"/>
        <v>637.4494000000002</v>
      </c>
      <c r="AG144" s="7">
        <f t="shared" si="15"/>
        <v>103.53762981030334</v>
      </c>
      <c r="AI144" s="7">
        <f t="shared" si="14"/>
        <v>749.99900000000002</v>
      </c>
      <c r="AK144" s="4">
        <f t="shared" si="16"/>
        <v>84.993366657822236</v>
      </c>
    </row>
    <row r="145" spans="1:37" x14ac:dyDescent="0.2">
      <c r="A145" s="4" t="s">
        <v>235</v>
      </c>
      <c r="B145" s="4">
        <v>1</v>
      </c>
      <c r="C145" s="4">
        <v>170</v>
      </c>
      <c r="D145" s="4">
        <v>23</v>
      </c>
      <c r="E145" s="4">
        <v>24.22</v>
      </c>
      <c r="F145" s="4">
        <v>61</v>
      </c>
      <c r="G145" s="4">
        <v>83</v>
      </c>
      <c r="H145" s="4">
        <v>97</v>
      </c>
      <c r="I145" s="4">
        <v>97</v>
      </c>
      <c r="J145" s="4">
        <v>1</v>
      </c>
      <c r="K145" s="4">
        <v>2</v>
      </c>
      <c r="L145" s="4">
        <v>2</v>
      </c>
      <c r="M145" s="4">
        <v>520</v>
      </c>
      <c r="O145" s="4">
        <v>73</v>
      </c>
      <c r="P145" s="4">
        <v>80</v>
      </c>
      <c r="Q145" s="4">
        <v>98</v>
      </c>
      <c r="R145" s="4">
        <v>98</v>
      </c>
      <c r="S145" s="4">
        <v>1</v>
      </c>
      <c r="T145" s="4">
        <v>2</v>
      </c>
      <c r="U145" s="4">
        <v>2</v>
      </c>
      <c r="V145" s="4">
        <v>667</v>
      </c>
      <c r="X145" s="4">
        <v>69</v>
      </c>
      <c r="Y145" s="4">
        <v>90</v>
      </c>
      <c r="Z145" s="4">
        <v>98</v>
      </c>
      <c r="AA145" s="4">
        <v>99</v>
      </c>
      <c r="AB145" s="4">
        <v>0</v>
      </c>
      <c r="AC145" s="4">
        <v>2</v>
      </c>
      <c r="AD145" s="4">
        <v>2</v>
      </c>
      <c r="AE145" s="4">
        <v>710</v>
      </c>
      <c r="AF145" s="7">
        <f t="shared" si="7"/>
        <v>699.09910000000002</v>
      </c>
      <c r="AG145" s="7">
        <f t="shared" si="15"/>
        <v>101.55927821964011</v>
      </c>
      <c r="AI145" s="7">
        <f t="shared" si="14"/>
        <v>683.86700000000008</v>
      </c>
      <c r="AK145" s="4">
        <f t="shared" si="16"/>
        <v>102.22734830018116</v>
      </c>
    </row>
    <row r="146" spans="1:37" x14ac:dyDescent="0.2">
      <c r="A146" s="4" t="s">
        <v>236</v>
      </c>
      <c r="B146" s="4">
        <v>0</v>
      </c>
      <c r="C146" s="4">
        <v>157</v>
      </c>
      <c r="D146" s="4">
        <v>26</v>
      </c>
      <c r="E146" s="4">
        <v>20.28</v>
      </c>
      <c r="F146" s="4">
        <v>106</v>
      </c>
      <c r="G146" s="4">
        <v>169</v>
      </c>
      <c r="H146" s="4">
        <v>98</v>
      </c>
      <c r="I146" s="4">
        <v>97</v>
      </c>
      <c r="J146" s="4">
        <v>0</v>
      </c>
      <c r="K146" s="4">
        <v>3</v>
      </c>
      <c r="L146" s="4">
        <v>5</v>
      </c>
      <c r="M146" s="4">
        <v>660</v>
      </c>
      <c r="O146" s="4">
        <v>107</v>
      </c>
      <c r="P146" s="4">
        <v>157</v>
      </c>
      <c r="Q146" s="4">
        <v>97</v>
      </c>
      <c r="R146" s="4">
        <v>99</v>
      </c>
      <c r="S146" s="4">
        <v>0</v>
      </c>
      <c r="T146" s="4">
        <v>3</v>
      </c>
      <c r="U146" s="4">
        <v>5</v>
      </c>
      <c r="V146" s="4">
        <v>720</v>
      </c>
      <c r="X146" s="4">
        <v>106</v>
      </c>
      <c r="Y146" s="4">
        <v>169</v>
      </c>
      <c r="Z146" s="4">
        <v>98</v>
      </c>
      <c r="AA146" s="4">
        <v>97</v>
      </c>
      <c r="AB146" s="4">
        <v>0</v>
      </c>
      <c r="AC146" s="4">
        <v>3</v>
      </c>
      <c r="AD146" s="4">
        <v>5</v>
      </c>
      <c r="AE146" s="4">
        <v>660</v>
      </c>
      <c r="AF146" s="7">
        <f t="shared" si="7"/>
        <v>656.15840000000003</v>
      </c>
      <c r="AG146" s="7">
        <f t="shared" si="15"/>
        <v>100.5854683869017</v>
      </c>
      <c r="AI146" s="7">
        <f t="shared" si="14"/>
        <v>688.99299999999994</v>
      </c>
      <c r="AK146" s="4">
        <f t="shared" si="16"/>
        <v>95.234407316184644</v>
      </c>
    </row>
    <row r="147" spans="1:37" x14ac:dyDescent="0.2">
      <c r="A147" s="4" t="s">
        <v>237</v>
      </c>
      <c r="B147" s="4">
        <v>0</v>
      </c>
      <c r="C147" s="4">
        <v>165</v>
      </c>
      <c r="D147" s="4">
        <v>23</v>
      </c>
      <c r="E147" s="4">
        <v>18.37</v>
      </c>
      <c r="F147" s="4">
        <v>103</v>
      </c>
      <c r="G147" s="4">
        <v>133</v>
      </c>
      <c r="H147" s="4">
        <v>97</v>
      </c>
      <c r="I147" s="4">
        <v>97</v>
      </c>
      <c r="J147" s="4">
        <v>0</v>
      </c>
      <c r="K147" s="4">
        <v>4</v>
      </c>
      <c r="L147" s="4">
        <v>8</v>
      </c>
      <c r="M147" s="4">
        <v>670</v>
      </c>
      <c r="O147" s="4">
        <v>91</v>
      </c>
      <c r="P147" s="4">
        <v>85</v>
      </c>
      <c r="Q147" s="4">
        <v>99</v>
      </c>
      <c r="R147" s="4">
        <v>97</v>
      </c>
      <c r="S147" s="4">
        <v>0</v>
      </c>
      <c r="T147" s="4">
        <v>5</v>
      </c>
      <c r="U147" s="4">
        <v>7</v>
      </c>
      <c r="V147" s="4">
        <v>640</v>
      </c>
      <c r="X147" s="4">
        <v>90</v>
      </c>
      <c r="Y147" s="4">
        <v>104</v>
      </c>
      <c r="Z147" s="4">
        <v>99</v>
      </c>
      <c r="AA147" s="4">
        <v>98</v>
      </c>
      <c r="AB147" s="4">
        <v>0</v>
      </c>
      <c r="AC147" s="4">
        <v>4</v>
      </c>
      <c r="AD147" s="4">
        <v>5</v>
      </c>
      <c r="AE147" s="4">
        <v>660</v>
      </c>
      <c r="AF147" s="7">
        <f t="shared" si="7"/>
        <v>678.71860000000004</v>
      </c>
      <c r="AG147" s="7">
        <f t="shared" si="15"/>
        <v>97.24206762566989</v>
      </c>
      <c r="AI147" s="7">
        <f t="shared" si="14"/>
        <v>636.80899999999997</v>
      </c>
      <c r="AK147" s="4">
        <f t="shared" si="16"/>
        <v>106.58118839400825</v>
      </c>
    </row>
    <row r="148" spans="1:37" x14ac:dyDescent="0.2">
      <c r="A148" s="4" t="s">
        <v>239</v>
      </c>
      <c r="B148" s="4">
        <v>0</v>
      </c>
      <c r="C148" s="4">
        <v>150</v>
      </c>
      <c r="D148" s="4">
        <v>29</v>
      </c>
      <c r="E148" s="4">
        <v>18.670000000000002</v>
      </c>
      <c r="F148" s="4">
        <v>97</v>
      </c>
      <c r="G148" s="4">
        <v>130</v>
      </c>
      <c r="H148" s="4">
        <v>98</v>
      </c>
      <c r="I148" s="4">
        <v>98</v>
      </c>
      <c r="J148" s="4">
        <v>0</v>
      </c>
      <c r="K148" s="4">
        <v>1</v>
      </c>
      <c r="L148" s="4">
        <v>2</v>
      </c>
      <c r="M148" s="4">
        <v>642</v>
      </c>
      <c r="O148" s="4">
        <v>76</v>
      </c>
      <c r="P148" s="4">
        <v>111</v>
      </c>
      <c r="Q148" s="4">
        <v>99</v>
      </c>
      <c r="R148" s="4">
        <v>98</v>
      </c>
      <c r="S148" s="4">
        <v>0</v>
      </c>
      <c r="T148" s="4">
        <v>1</v>
      </c>
      <c r="U148" s="4">
        <v>1</v>
      </c>
      <c r="V148" s="4">
        <v>614</v>
      </c>
      <c r="X148" s="4">
        <v>105</v>
      </c>
      <c r="Y148" s="4">
        <v>117</v>
      </c>
      <c r="Z148" s="4">
        <v>99</v>
      </c>
      <c r="AA148" s="4">
        <v>98</v>
      </c>
      <c r="AB148" s="4">
        <v>2</v>
      </c>
      <c r="AC148" s="4">
        <v>3</v>
      </c>
      <c r="AD148" s="4">
        <v>3</v>
      </c>
      <c r="AE148" s="4">
        <v>626</v>
      </c>
      <c r="AF148" s="7">
        <f t="shared" si="7"/>
        <v>651.36159999999995</v>
      </c>
      <c r="AG148" s="7">
        <f t="shared" si="15"/>
        <v>96.106371637505191</v>
      </c>
      <c r="AI148" s="7">
        <f t="shared" si="14"/>
        <v>600.17600000000004</v>
      </c>
      <c r="AK148" s="4">
        <f t="shared" si="16"/>
        <v>108.52843166004638</v>
      </c>
    </row>
    <row r="149" spans="1:37" x14ac:dyDescent="0.2">
      <c r="A149" s="4" t="s">
        <v>241</v>
      </c>
      <c r="B149" s="4">
        <v>0</v>
      </c>
      <c r="C149" s="4">
        <v>158</v>
      </c>
      <c r="D149" s="4">
        <v>24</v>
      </c>
      <c r="E149" s="7">
        <v>22.832879346258608</v>
      </c>
      <c r="F149" s="4">
        <v>116</v>
      </c>
      <c r="G149" s="4">
        <v>137</v>
      </c>
      <c r="H149" s="4">
        <v>98</v>
      </c>
      <c r="I149" s="4">
        <v>98</v>
      </c>
      <c r="J149" s="4">
        <v>1</v>
      </c>
      <c r="K149" s="4">
        <v>4</v>
      </c>
      <c r="L149" s="4">
        <v>7</v>
      </c>
      <c r="M149" s="4">
        <v>613</v>
      </c>
      <c r="O149" s="4">
        <v>120</v>
      </c>
      <c r="P149" s="4">
        <v>142</v>
      </c>
      <c r="Q149" s="4">
        <v>99</v>
      </c>
      <c r="R149" s="4">
        <v>99</v>
      </c>
      <c r="S149" s="4">
        <v>1</v>
      </c>
      <c r="T149" s="4">
        <v>5</v>
      </c>
      <c r="U149" s="4">
        <v>7</v>
      </c>
      <c r="V149" s="4">
        <v>637</v>
      </c>
      <c r="X149" s="4">
        <v>71</v>
      </c>
      <c r="Y149" s="4">
        <v>125</v>
      </c>
      <c r="Z149" s="4">
        <v>97</v>
      </c>
      <c r="AA149" s="4">
        <v>99</v>
      </c>
      <c r="AB149" s="4">
        <v>0</v>
      </c>
      <c r="AC149" s="4">
        <v>4</v>
      </c>
      <c r="AD149" s="4">
        <v>6</v>
      </c>
      <c r="AE149" s="4">
        <v>660</v>
      </c>
      <c r="AF149" s="7">
        <f t="shared" si="7"/>
        <v>652.49587758372058</v>
      </c>
      <c r="AG149" s="7">
        <f t="shared" si="15"/>
        <v>101.15006434125962</v>
      </c>
      <c r="AI149" s="7">
        <f t="shared" si="14"/>
        <v>670.24299999999994</v>
      </c>
      <c r="AK149" s="4">
        <f t="shared" si="16"/>
        <v>97.352136103431235</v>
      </c>
    </row>
    <row r="150" spans="1:37" x14ac:dyDescent="0.2">
      <c r="A150" s="4" t="s">
        <v>242</v>
      </c>
      <c r="B150" s="4">
        <v>0</v>
      </c>
      <c r="C150" s="4">
        <v>172</v>
      </c>
      <c r="D150" s="4">
        <v>29</v>
      </c>
      <c r="E150" s="7">
        <v>22.647376960519203</v>
      </c>
      <c r="F150" s="4">
        <v>104</v>
      </c>
      <c r="G150" s="4">
        <v>80</v>
      </c>
      <c r="H150" s="4">
        <v>96</v>
      </c>
      <c r="I150" s="4">
        <v>94</v>
      </c>
      <c r="J150" s="4">
        <v>1</v>
      </c>
      <c r="K150" s="4">
        <v>5</v>
      </c>
      <c r="L150" s="4">
        <v>7</v>
      </c>
      <c r="M150" s="4">
        <v>530</v>
      </c>
      <c r="O150" s="4">
        <v>105</v>
      </c>
      <c r="P150" s="4">
        <v>116</v>
      </c>
      <c r="Q150" s="4">
        <v>98</v>
      </c>
      <c r="R150" s="4">
        <v>99</v>
      </c>
      <c r="S150" s="4">
        <v>2</v>
      </c>
      <c r="T150" s="4">
        <v>7</v>
      </c>
      <c r="U150" s="4">
        <v>8</v>
      </c>
      <c r="V150" s="4">
        <v>580</v>
      </c>
      <c r="X150" s="4">
        <v>100</v>
      </c>
      <c r="Y150" s="4">
        <v>113</v>
      </c>
      <c r="Z150" s="4">
        <v>96</v>
      </c>
      <c r="AA150" s="4">
        <v>99</v>
      </c>
      <c r="AB150" s="4">
        <v>0</v>
      </c>
      <c r="AC150" s="4">
        <v>5</v>
      </c>
      <c r="AD150" s="4">
        <v>6</v>
      </c>
      <c r="AE150" s="4">
        <v>734</v>
      </c>
      <c r="AF150" s="7">
        <f t="shared" ref="AF150:AF192" si="17">890.46-(6.11*D150)+(0.0345*D150*D150)+(48.87*B150) -(4.87*E150)</f>
        <v>631.99177420227147</v>
      </c>
      <c r="AG150" s="7">
        <f t="shared" si="15"/>
        <v>116.1407521366062</v>
      </c>
      <c r="AI150" s="7">
        <f t="shared" si="14"/>
        <v>637.20400000000006</v>
      </c>
      <c r="AK150" s="4">
        <f t="shared" si="16"/>
        <v>99.182016152169695</v>
      </c>
    </row>
    <row r="151" spans="1:37" x14ac:dyDescent="0.2">
      <c r="A151" s="4" t="s">
        <v>243</v>
      </c>
      <c r="B151" s="4">
        <v>0</v>
      </c>
      <c r="C151" s="4">
        <v>168</v>
      </c>
      <c r="D151" s="4">
        <v>26</v>
      </c>
      <c r="E151" s="7">
        <v>22.67573696145125</v>
      </c>
      <c r="F151" s="4">
        <v>75</v>
      </c>
      <c r="G151" s="4">
        <v>117</v>
      </c>
      <c r="H151" s="4">
        <v>97</v>
      </c>
      <c r="I151" s="4">
        <v>97</v>
      </c>
      <c r="J151" s="4">
        <v>1</v>
      </c>
      <c r="K151" s="4">
        <v>4</v>
      </c>
      <c r="L151" s="4">
        <v>5</v>
      </c>
      <c r="M151" s="4">
        <v>610</v>
      </c>
      <c r="O151" s="4">
        <v>76</v>
      </c>
      <c r="P151" s="4">
        <v>115</v>
      </c>
      <c r="Q151" s="4">
        <v>99</v>
      </c>
      <c r="R151" s="4">
        <v>98</v>
      </c>
      <c r="S151" s="4">
        <v>1</v>
      </c>
      <c r="T151" s="4">
        <v>5</v>
      </c>
      <c r="U151" s="4">
        <v>7</v>
      </c>
      <c r="V151" s="4">
        <v>667</v>
      </c>
      <c r="X151" s="4">
        <v>101</v>
      </c>
      <c r="Y151" s="4">
        <v>132</v>
      </c>
      <c r="Z151" s="4">
        <v>97</v>
      </c>
      <c r="AA151" s="4">
        <v>99</v>
      </c>
      <c r="AB151" s="4">
        <v>0</v>
      </c>
      <c r="AC151" s="4">
        <v>4</v>
      </c>
      <c r="AD151" s="4">
        <v>6</v>
      </c>
      <c r="AE151" s="4">
        <v>697</v>
      </c>
      <c r="AF151" s="7">
        <f t="shared" si="17"/>
        <v>644.49116099773244</v>
      </c>
      <c r="AG151" s="7">
        <f t="shared" si="15"/>
        <v>108.14733268350476</v>
      </c>
      <c r="AI151" s="7">
        <f t="shared" si="14"/>
        <v>662.23199999999997</v>
      </c>
      <c r="AK151" s="4">
        <f t="shared" si="16"/>
        <v>97.321053799534369</v>
      </c>
    </row>
    <row r="152" spans="1:37" x14ac:dyDescent="0.2">
      <c r="A152" s="4" t="s">
        <v>244</v>
      </c>
      <c r="B152" s="4">
        <v>1</v>
      </c>
      <c r="C152" s="4">
        <v>180</v>
      </c>
      <c r="D152">
        <v>40</v>
      </c>
      <c r="E152" s="7">
        <v>25.617283950617281</v>
      </c>
      <c r="F152" s="4">
        <v>112</v>
      </c>
      <c r="G152" s="4">
        <v>122</v>
      </c>
      <c r="H152" s="4">
        <v>97</v>
      </c>
      <c r="I152" s="4">
        <v>98</v>
      </c>
      <c r="J152" s="4">
        <v>0</v>
      </c>
      <c r="K152" s="4">
        <v>1</v>
      </c>
      <c r="L152" s="4">
        <v>1</v>
      </c>
      <c r="M152" s="4">
        <v>610</v>
      </c>
      <c r="O152" s="4">
        <v>102</v>
      </c>
      <c r="P152" s="4">
        <v>127</v>
      </c>
      <c r="Q152" s="4">
        <v>99</v>
      </c>
      <c r="R152" s="4">
        <v>96</v>
      </c>
      <c r="S152" s="4">
        <v>0</v>
      </c>
      <c r="T152" s="4">
        <v>1</v>
      </c>
      <c r="U152" s="4">
        <v>2</v>
      </c>
      <c r="V152" s="4">
        <v>647</v>
      </c>
      <c r="X152" s="4">
        <v>89</v>
      </c>
      <c r="Y152" s="4">
        <v>105</v>
      </c>
      <c r="Z152" s="4">
        <v>98</v>
      </c>
      <c r="AA152" s="4">
        <v>99</v>
      </c>
      <c r="AB152" s="4">
        <v>0</v>
      </c>
      <c r="AC152" s="4">
        <v>1</v>
      </c>
      <c r="AD152" s="4">
        <v>1</v>
      </c>
      <c r="AE152" s="4">
        <v>678</v>
      </c>
      <c r="AF152" s="7">
        <f t="shared" si="17"/>
        <v>625.37382716049399</v>
      </c>
      <c r="AG152" s="7">
        <f t="shared" si="15"/>
        <v>108.41515435310987</v>
      </c>
      <c r="AI152" s="7">
        <f t="shared" si="14"/>
        <v>662.23099999999999</v>
      </c>
      <c r="AK152" s="4">
        <f t="shared" si="16"/>
        <v>94.434393309961933</v>
      </c>
    </row>
    <row r="153" spans="1:37" x14ac:dyDescent="0.2">
      <c r="A153" s="4" t="s">
        <v>245</v>
      </c>
      <c r="B153" s="4">
        <v>1</v>
      </c>
      <c r="C153" s="4">
        <v>176</v>
      </c>
      <c r="D153">
        <v>30</v>
      </c>
      <c r="E153" s="7">
        <v>24.212293388429753</v>
      </c>
      <c r="F153" s="4">
        <v>100</v>
      </c>
      <c r="G153" s="4">
        <v>119</v>
      </c>
      <c r="H153" s="4">
        <v>98</v>
      </c>
      <c r="I153" s="4">
        <v>98</v>
      </c>
      <c r="J153" s="4">
        <v>0</v>
      </c>
      <c r="K153" s="4">
        <v>0</v>
      </c>
      <c r="L153" s="4">
        <v>1</v>
      </c>
      <c r="M153" s="4">
        <v>650</v>
      </c>
      <c r="O153" s="4">
        <v>86</v>
      </c>
      <c r="P153" s="4">
        <v>120</v>
      </c>
      <c r="Q153" s="4">
        <v>98</v>
      </c>
      <c r="R153" s="4">
        <v>98</v>
      </c>
      <c r="S153" s="4">
        <v>0</v>
      </c>
      <c r="T153" s="4">
        <v>0</v>
      </c>
      <c r="U153" s="4">
        <v>0</v>
      </c>
      <c r="V153" s="4">
        <v>680</v>
      </c>
      <c r="X153" s="4">
        <v>78</v>
      </c>
      <c r="Y153" s="4">
        <v>113</v>
      </c>
      <c r="Z153" s="4">
        <v>95</v>
      </c>
      <c r="AA153" s="4">
        <v>99</v>
      </c>
      <c r="AB153" s="4">
        <v>0</v>
      </c>
      <c r="AC153" s="4">
        <v>1</v>
      </c>
      <c r="AD153" s="4">
        <v>1</v>
      </c>
      <c r="AE153" s="4">
        <v>680</v>
      </c>
      <c r="AF153" s="7">
        <f t="shared" si="17"/>
        <v>669.1661311983471</v>
      </c>
      <c r="AG153" s="7">
        <f t="shared" si="15"/>
        <v>101.61901033189645</v>
      </c>
      <c r="AI153" s="7">
        <f t="shared" si="14"/>
        <v>700.36500000000001</v>
      </c>
      <c r="AK153" s="4">
        <f t="shared" si="16"/>
        <v>95.54534152882384</v>
      </c>
    </row>
    <row r="154" spans="1:37" x14ac:dyDescent="0.2">
      <c r="A154" s="4" t="s">
        <v>246</v>
      </c>
      <c r="B154" s="4">
        <v>1</v>
      </c>
      <c r="C154" s="4">
        <v>173</v>
      </c>
      <c r="D154" s="4">
        <v>35</v>
      </c>
      <c r="E154" s="7">
        <v>26.395803401383272</v>
      </c>
      <c r="F154" s="4">
        <v>89</v>
      </c>
      <c r="G154" s="4">
        <v>130</v>
      </c>
      <c r="H154" s="4">
        <v>97</v>
      </c>
      <c r="I154" s="4">
        <v>98</v>
      </c>
      <c r="J154" s="4">
        <v>0</v>
      </c>
      <c r="K154" s="4">
        <v>2</v>
      </c>
      <c r="L154" s="4">
        <v>3</v>
      </c>
      <c r="M154" s="4">
        <v>580</v>
      </c>
      <c r="O154" s="4">
        <v>78</v>
      </c>
      <c r="P154" s="4">
        <v>112</v>
      </c>
      <c r="Q154" s="4">
        <v>97</v>
      </c>
      <c r="R154" s="4">
        <v>97</v>
      </c>
      <c r="S154" s="4">
        <v>0</v>
      </c>
      <c r="T154" s="4">
        <v>2</v>
      </c>
      <c r="U154" s="4">
        <v>3</v>
      </c>
      <c r="V154" s="4">
        <v>683</v>
      </c>
      <c r="X154" s="4">
        <v>60</v>
      </c>
      <c r="Y154" s="4">
        <v>120</v>
      </c>
      <c r="Z154" s="4">
        <v>99</v>
      </c>
      <c r="AA154" s="4">
        <v>98</v>
      </c>
      <c r="AB154" s="4">
        <v>0</v>
      </c>
      <c r="AC154" s="4">
        <v>2</v>
      </c>
      <c r="AD154" s="4">
        <v>6</v>
      </c>
      <c r="AE154" s="4">
        <v>622</v>
      </c>
      <c r="AF154" s="7">
        <f t="shared" si="17"/>
        <v>639.19493743526345</v>
      </c>
      <c r="AG154" s="7">
        <f t="shared" si="15"/>
        <v>97.309907130325954</v>
      </c>
      <c r="AI154" s="7">
        <f t="shared" si="14"/>
        <v>711.29299999999989</v>
      </c>
      <c r="AK154" s="4">
        <f t="shared" si="16"/>
        <v>89.86380260107488</v>
      </c>
    </row>
    <row r="155" spans="1:37" x14ac:dyDescent="0.2">
      <c r="A155" s="4" t="s">
        <v>248</v>
      </c>
      <c r="B155" s="4">
        <v>1</v>
      </c>
      <c r="C155" s="4">
        <v>178</v>
      </c>
      <c r="D155" s="4">
        <v>29</v>
      </c>
      <c r="E155" s="4">
        <v>26.83</v>
      </c>
      <c r="F155" s="4">
        <v>102</v>
      </c>
      <c r="G155" s="4">
        <v>153</v>
      </c>
      <c r="H155" s="4">
        <v>96</v>
      </c>
      <c r="I155" s="4">
        <v>97</v>
      </c>
      <c r="J155" s="4">
        <v>0</v>
      </c>
      <c r="K155" s="4">
        <v>1</v>
      </c>
      <c r="L155" s="4">
        <v>1</v>
      </c>
      <c r="M155" s="4">
        <v>550</v>
      </c>
      <c r="O155" s="4">
        <v>95</v>
      </c>
      <c r="P155" s="4">
        <v>144</v>
      </c>
      <c r="Q155" s="4">
        <v>97</v>
      </c>
      <c r="R155" s="4">
        <v>98</v>
      </c>
      <c r="S155" s="4">
        <v>0</v>
      </c>
      <c r="T155" s="4">
        <v>1</v>
      </c>
      <c r="U155" s="4">
        <v>1</v>
      </c>
      <c r="V155" s="4">
        <v>680</v>
      </c>
      <c r="X155" s="4">
        <v>107</v>
      </c>
      <c r="Y155" s="4">
        <v>163</v>
      </c>
      <c r="Z155" s="4">
        <v>97</v>
      </c>
      <c r="AA155" s="4">
        <v>97</v>
      </c>
      <c r="AB155" s="4">
        <v>0</v>
      </c>
      <c r="AC155" s="4">
        <v>1</v>
      </c>
      <c r="AD155" s="4">
        <v>1</v>
      </c>
      <c r="AE155" s="4">
        <v>730</v>
      </c>
      <c r="AF155" s="7">
        <f t="shared" si="17"/>
        <v>660.49239999999998</v>
      </c>
      <c r="AG155" s="7">
        <f t="shared" si="15"/>
        <v>110.52360329959892</v>
      </c>
      <c r="AI155" s="7">
        <f t="shared" si="14"/>
        <v>745.32600000000014</v>
      </c>
      <c r="AK155" s="4">
        <f t="shared" si="16"/>
        <v>88.617920212095086</v>
      </c>
    </row>
    <row r="156" spans="1:37" x14ac:dyDescent="0.2">
      <c r="A156" s="4" t="s">
        <v>250</v>
      </c>
      <c r="B156" s="4">
        <v>0</v>
      </c>
      <c r="C156" s="4">
        <v>149</v>
      </c>
      <c r="D156" s="4">
        <v>62</v>
      </c>
      <c r="E156" s="4">
        <v>27.03</v>
      </c>
      <c r="F156" s="4">
        <v>97</v>
      </c>
      <c r="G156" s="4">
        <v>124</v>
      </c>
      <c r="H156" s="4">
        <v>93</v>
      </c>
      <c r="I156" s="4">
        <v>95</v>
      </c>
      <c r="J156" s="4">
        <v>0</v>
      </c>
      <c r="K156" s="4">
        <v>2</v>
      </c>
      <c r="L156" s="4">
        <v>3</v>
      </c>
      <c r="M156" s="4">
        <v>490</v>
      </c>
      <c r="O156" s="4">
        <v>102</v>
      </c>
      <c r="P156" s="4">
        <v>120</v>
      </c>
      <c r="Q156" s="4">
        <v>98</v>
      </c>
      <c r="R156" s="4">
        <v>95</v>
      </c>
      <c r="S156" s="4">
        <v>0</v>
      </c>
      <c r="T156" s="4">
        <v>3</v>
      </c>
      <c r="U156" s="4">
        <v>5</v>
      </c>
      <c r="V156" s="4">
        <v>558</v>
      </c>
      <c r="X156" s="4">
        <v>96</v>
      </c>
      <c r="Y156" s="4">
        <v>119</v>
      </c>
      <c r="Z156" s="4">
        <v>97</v>
      </c>
      <c r="AA156" s="4">
        <v>97</v>
      </c>
      <c r="AB156" s="4">
        <v>0</v>
      </c>
      <c r="AC156" s="4">
        <v>4</v>
      </c>
      <c r="AD156" s="4">
        <v>5</v>
      </c>
      <c r="AE156" s="4">
        <v>660</v>
      </c>
      <c r="AF156" s="7">
        <f t="shared" si="17"/>
        <v>512.6219000000001</v>
      </c>
      <c r="AG156" s="7">
        <f t="shared" si="15"/>
        <v>128.74986417864704</v>
      </c>
      <c r="AI156" s="7">
        <f t="shared" si="14"/>
        <v>534.20299999999997</v>
      </c>
      <c r="AK156" s="4">
        <f t="shared" si="16"/>
        <v>95.960131260962612</v>
      </c>
    </row>
    <row r="157" spans="1:37" x14ac:dyDescent="0.2">
      <c r="A157" s="4" t="s">
        <v>252</v>
      </c>
      <c r="B157" s="4">
        <v>1</v>
      </c>
      <c r="C157" s="4">
        <v>175</v>
      </c>
      <c r="D157" s="4">
        <v>24</v>
      </c>
      <c r="E157" s="4">
        <v>23.51</v>
      </c>
      <c r="F157" s="4">
        <v>100</v>
      </c>
      <c r="G157" s="4">
        <v>145</v>
      </c>
      <c r="H157" s="4">
        <v>94</v>
      </c>
      <c r="I157" s="4">
        <v>97</v>
      </c>
      <c r="J157" s="4">
        <v>0</v>
      </c>
      <c r="K157" s="4">
        <v>2</v>
      </c>
      <c r="L157" s="4">
        <v>6</v>
      </c>
      <c r="M157" s="4">
        <v>580</v>
      </c>
      <c r="O157" s="4">
        <v>101</v>
      </c>
      <c r="P157" s="4">
        <v>143</v>
      </c>
      <c r="Q157" s="4">
        <v>97</v>
      </c>
      <c r="R157" s="4">
        <v>96</v>
      </c>
      <c r="S157" s="4">
        <v>0</v>
      </c>
      <c r="T157" s="4">
        <v>2</v>
      </c>
      <c r="U157" s="4">
        <v>5</v>
      </c>
      <c r="V157" s="4">
        <v>680</v>
      </c>
      <c r="X157" s="4">
        <v>79</v>
      </c>
      <c r="Y157" s="4">
        <v>72</v>
      </c>
      <c r="Z157" s="4">
        <v>97</v>
      </c>
      <c r="AA157" s="4">
        <v>97</v>
      </c>
      <c r="AB157" s="4">
        <v>0</v>
      </c>
      <c r="AC157" s="4">
        <v>1</v>
      </c>
      <c r="AD157" s="4">
        <v>5</v>
      </c>
      <c r="AE157" s="4">
        <v>712</v>
      </c>
      <c r="AF157" s="7">
        <f t="shared" si="17"/>
        <v>698.06830000000002</v>
      </c>
      <c r="AG157" s="7">
        <f t="shared" si="15"/>
        <v>101.99575027257362</v>
      </c>
      <c r="AI157" s="7">
        <f t="shared" si="14"/>
        <v>655.51400000000001</v>
      </c>
      <c r="AK157" s="4">
        <f t="shared" si="16"/>
        <v>106.49174540894626</v>
      </c>
    </row>
    <row r="158" spans="1:37" x14ac:dyDescent="0.2">
      <c r="A158" s="4" t="s">
        <v>253</v>
      </c>
      <c r="B158" s="4">
        <v>1</v>
      </c>
      <c r="C158" s="4">
        <v>178</v>
      </c>
      <c r="D158" s="4">
        <v>25</v>
      </c>
      <c r="E158" s="4">
        <v>24.3</v>
      </c>
      <c r="F158" s="4">
        <v>84</v>
      </c>
      <c r="G158" s="4">
        <v>63</v>
      </c>
      <c r="H158" s="4">
        <v>98</v>
      </c>
      <c r="I158" s="4">
        <v>97</v>
      </c>
      <c r="J158" s="4">
        <v>1</v>
      </c>
      <c r="K158" s="4">
        <v>5</v>
      </c>
      <c r="L158" s="4">
        <v>6</v>
      </c>
      <c r="M158" s="4">
        <v>524</v>
      </c>
      <c r="O158" s="4">
        <v>83</v>
      </c>
      <c r="P158" s="4">
        <v>93</v>
      </c>
      <c r="Q158" s="4">
        <v>98</v>
      </c>
      <c r="R158" s="4">
        <v>98</v>
      </c>
      <c r="S158" s="4">
        <v>0</v>
      </c>
      <c r="T158" s="4">
        <v>3</v>
      </c>
      <c r="U158" s="4">
        <v>5</v>
      </c>
      <c r="V158" s="4">
        <v>607</v>
      </c>
      <c r="X158" s="4">
        <v>75</v>
      </c>
      <c r="Y158" s="4">
        <v>103</v>
      </c>
      <c r="Z158" s="4">
        <v>97</v>
      </c>
      <c r="AA158" s="4">
        <v>98</v>
      </c>
      <c r="AB158" s="4">
        <v>0</v>
      </c>
      <c r="AC158" s="4">
        <v>4</v>
      </c>
      <c r="AD158" s="4">
        <v>5</v>
      </c>
      <c r="AE158" s="4">
        <v>630</v>
      </c>
      <c r="AF158" s="7">
        <f t="shared" si="17"/>
        <v>689.80150000000003</v>
      </c>
      <c r="AG158" s="7">
        <f t="shared" si="15"/>
        <v>91.330621925293002</v>
      </c>
      <c r="AI158" s="7">
        <f t="shared" si="14"/>
        <v>704.63800000000015</v>
      </c>
      <c r="AK158" s="4">
        <f t="shared" si="16"/>
        <v>97.894450767628186</v>
      </c>
    </row>
    <row r="159" spans="1:37" x14ac:dyDescent="0.2">
      <c r="A159" s="4" t="s">
        <v>255</v>
      </c>
      <c r="B159" s="4">
        <v>0</v>
      </c>
      <c r="C159" s="4">
        <v>167</v>
      </c>
      <c r="D159" s="4">
        <v>66</v>
      </c>
      <c r="E159" s="4">
        <v>31.2</v>
      </c>
      <c r="F159" s="4">
        <v>105</v>
      </c>
      <c r="G159" s="4">
        <v>132</v>
      </c>
      <c r="H159" s="4">
        <v>98</v>
      </c>
      <c r="I159" s="4">
        <v>99</v>
      </c>
      <c r="J159" s="4">
        <v>2</v>
      </c>
      <c r="K159" s="4">
        <v>4</v>
      </c>
      <c r="L159" s="4">
        <v>6</v>
      </c>
      <c r="M159" s="4">
        <v>460</v>
      </c>
      <c r="O159" s="4">
        <v>92</v>
      </c>
      <c r="P159" s="4">
        <v>97</v>
      </c>
      <c r="Q159" s="4">
        <v>97</v>
      </c>
      <c r="R159" s="4">
        <v>131</v>
      </c>
      <c r="S159" s="4">
        <v>0</v>
      </c>
      <c r="T159" s="4">
        <v>3</v>
      </c>
      <c r="U159" s="4">
        <v>6</v>
      </c>
      <c r="V159" s="4">
        <v>553</v>
      </c>
      <c r="X159" s="4">
        <v>83</v>
      </c>
      <c r="Y159" s="4">
        <v>110</v>
      </c>
      <c r="Z159" s="4">
        <v>98</v>
      </c>
      <c r="AA159" s="4">
        <v>97</v>
      </c>
      <c r="AB159" s="4">
        <v>0</v>
      </c>
      <c r="AC159" s="4">
        <v>4</v>
      </c>
      <c r="AD159" s="4">
        <v>6</v>
      </c>
      <c r="AE159" s="4">
        <v>564</v>
      </c>
      <c r="AF159" s="7">
        <f t="shared" si="17"/>
        <v>485.53800000000001</v>
      </c>
      <c r="AG159" s="7">
        <f t="shared" si="15"/>
        <v>116.15980623555726</v>
      </c>
      <c r="AI159" s="7">
        <f t="shared" si="14"/>
        <v>556.37800000000004</v>
      </c>
      <c r="AK159" s="4">
        <f t="shared" si="16"/>
        <v>87.26764897246116</v>
      </c>
    </row>
    <row r="160" spans="1:37" x14ac:dyDescent="0.2">
      <c r="A160" s="4" t="s">
        <v>256</v>
      </c>
      <c r="B160" s="4">
        <v>0</v>
      </c>
      <c r="C160" s="4">
        <v>167</v>
      </c>
      <c r="D160" s="4">
        <v>21</v>
      </c>
      <c r="E160" s="4">
        <v>21.51</v>
      </c>
      <c r="F160" s="4">
        <v>119</v>
      </c>
      <c r="G160" s="4">
        <v>175</v>
      </c>
      <c r="H160" s="4">
        <v>96</v>
      </c>
      <c r="I160" s="4">
        <v>96</v>
      </c>
      <c r="J160" s="4">
        <v>1</v>
      </c>
      <c r="K160" s="4">
        <v>5</v>
      </c>
      <c r="L160" s="4">
        <v>7</v>
      </c>
      <c r="M160" s="4">
        <v>595</v>
      </c>
      <c r="O160" s="4">
        <v>72</v>
      </c>
      <c r="P160" s="4">
        <v>167</v>
      </c>
      <c r="Q160" s="4">
        <v>96</v>
      </c>
      <c r="R160" s="4">
        <v>96</v>
      </c>
      <c r="S160" s="4">
        <v>0</v>
      </c>
      <c r="T160" s="4">
        <v>5</v>
      </c>
      <c r="U160" s="4">
        <v>6</v>
      </c>
      <c r="V160" s="4">
        <v>640</v>
      </c>
      <c r="X160" s="4">
        <v>114</v>
      </c>
      <c r="Y160" s="4">
        <v>160</v>
      </c>
      <c r="Z160" s="4">
        <v>99</v>
      </c>
      <c r="AA160" s="4">
        <v>98</v>
      </c>
      <c r="AB160" s="4">
        <v>0</v>
      </c>
      <c r="AC160" s="4">
        <v>4</v>
      </c>
      <c r="AD160" s="4">
        <v>5</v>
      </c>
      <c r="AE160" s="4">
        <v>572</v>
      </c>
      <c r="AF160" s="7">
        <f t="shared" si="17"/>
        <v>672.61080000000015</v>
      </c>
      <c r="AG160" s="7">
        <f t="shared" si="15"/>
        <v>85.041750742033855</v>
      </c>
      <c r="AI160" s="7">
        <f t="shared" si="14"/>
        <v>697.26300000000003</v>
      </c>
      <c r="AK160" s="4">
        <f t="shared" si="16"/>
        <v>96.464433076185045</v>
      </c>
    </row>
    <row r="161" spans="1:37" x14ac:dyDescent="0.2">
      <c r="A161" s="4" t="s">
        <v>257</v>
      </c>
      <c r="B161" s="4">
        <v>0</v>
      </c>
      <c r="C161" s="4">
        <v>169</v>
      </c>
      <c r="D161" s="4">
        <v>24</v>
      </c>
      <c r="E161" s="4">
        <v>20.309999999999999</v>
      </c>
      <c r="F161" s="4">
        <v>98</v>
      </c>
      <c r="G161" s="4">
        <v>148</v>
      </c>
      <c r="H161" s="4">
        <v>96</v>
      </c>
      <c r="I161" s="4">
        <v>96</v>
      </c>
      <c r="J161" s="4">
        <v>0</v>
      </c>
      <c r="K161" s="4">
        <v>3</v>
      </c>
      <c r="L161" s="4">
        <v>4</v>
      </c>
      <c r="M161" s="4">
        <v>570</v>
      </c>
      <c r="O161" s="4">
        <v>101</v>
      </c>
      <c r="P161" s="4">
        <v>140</v>
      </c>
      <c r="Q161" s="4">
        <v>96</v>
      </c>
      <c r="R161" s="4">
        <v>97</v>
      </c>
      <c r="S161" s="4">
        <v>0</v>
      </c>
      <c r="T161" s="4">
        <v>3</v>
      </c>
      <c r="U161" s="4">
        <v>3</v>
      </c>
      <c r="V161" s="4">
        <v>620</v>
      </c>
      <c r="X161" s="4">
        <v>82</v>
      </c>
      <c r="Y161" s="4">
        <v>116</v>
      </c>
      <c r="Z161" s="4">
        <v>97</v>
      </c>
      <c r="AA161" s="4">
        <v>98</v>
      </c>
      <c r="AB161" s="4">
        <v>0</v>
      </c>
      <c r="AC161" s="4">
        <v>3</v>
      </c>
      <c r="AD161" s="4">
        <v>3</v>
      </c>
      <c r="AE161" s="4">
        <v>663</v>
      </c>
      <c r="AF161" s="7">
        <f t="shared" si="17"/>
        <v>664.78229999999996</v>
      </c>
      <c r="AG161" s="7">
        <f t="shared" si="15"/>
        <v>99.73189719401374</v>
      </c>
      <c r="AI161" s="7">
        <f t="shared" si="14"/>
        <v>665.70200000000011</v>
      </c>
      <c r="AK161" s="4">
        <f t="shared" si="16"/>
        <v>99.861845089844977</v>
      </c>
    </row>
    <row r="162" spans="1:37" x14ac:dyDescent="0.2">
      <c r="A162" s="4" t="s">
        <v>260</v>
      </c>
      <c r="B162" s="4">
        <v>0</v>
      </c>
      <c r="C162" s="4">
        <v>160</v>
      </c>
      <c r="D162" s="4">
        <v>22</v>
      </c>
      <c r="E162" s="4">
        <v>23.83</v>
      </c>
      <c r="F162" s="4">
        <v>98</v>
      </c>
      <c r="G162" s="4">
        <v>118</v>
      </c>
      <c r="H162" s="4">
        <v>98</v>
      </c>
      <c r="I162" s="4">
        <v>99</v>
      </c>
      <c r="J162" s="4">
        <v>0</v>
      </c>
      <c r="K162" s="4">
        <v>4</v>
      </c>
      <c r="L162" s="4">
        <v>6</v>
      </c>
      <c r="M162" s="4">
        <v>490</v>
      </c>
      <c r="O162" s="4">
        <v>107</v>
      </c>
      <c r="P162" s="4">
        <v>138</v>
      </c>
      <c r="Q162" s="4">
        <v>97</v>
      </c>
      <c r="R162" s="4">
        <v>99</v>
      </c>
      <c r="S162" s="4">
        <v>0</v>
      </c>
      <c r="T162" s="4">
        <v>3</v>
      </c>
      <c r="U162" s="4">
        <v>5</v>
      </c>
      <c r="V162" s="4">
        <v>600</v>
      </c>
      <c r="X162" s="4">
        <v>101</v>
      </c>
      <c r="Y162" s="4">
        <v>107</v>
      </c>
      <c r="Z162" s="4">
        <v>99</v>
      </c>
      <c r="AA162" s="4">
        <v>99</v>
      </c>
      <c r="AB162" s="4">
        <v>0</v>
      </c>
      <c r="AC162" s="4">
        <v>3</v>
      </c>
      <c r="AD162" s="4">
        <v>5</v>
      </c>
      <c r="AE162" s="4">
        <v>564</v>
      </c>
      <c r="AF162" s="7">
        <f t="shared" si="17"/>
        <v>656.68589999999995</v>
      </c>
      <c r="AG162" s="7">
        <f t="shared" si="15"/>
        <v>85.885809334416962</v>
      </c>
      <c r="AI162" s="7">
        <f t="shared" si="14"/>
        <v>623.68700000000013</v>
      </c>
      <c r="AK162" s="4">
        <f t="shared" si="16"/>
        <v>105.29093920508201</v>
      </c>
    </row>
    <row r="163" spans="1:37" x14ac:dyDescent="0.2">
      <c r="A163" s="4" t="s">
        <v>261</v>
      </c>
      <c r="B163" s="4">
        <v>0</v>
      </c>
      <c r="C163" s="4">
        <v>180</v>
      </c>
      <c r="D163" s="4">
        <v>26</v>
      </c>
      <c r="E163" s="4">
        <v>18.52</v>
      </c>
      <c r="F163" s="4">
        <v>53</v>
      </c>
      <c r="G163" s="4">
        <v>165</v>
      </c>
      <c r="H163" s="4">
        <v>99</v>
      </c>
      <c r="I163" s="4">
        <v>99</v>
      </c>
      <c r="J163" s="4">
        <v>0</v>
      </c>
      <c r="K163" s="4">
        <v>6</v>
      </c>
      <c r="L163" s="4">
        <v>7</v>
      </c>
      <c r="M163" s="4">
        <v>566</v>
      </c>
      <c r="O163" s="4">
        <v>118</v>
      </c>
      <c r="P163" s="4">
        <v>165</v>
      </c>
      <c r="Q163" s="4">
        <v>99</v>
      </c>
      <c r="R163" s="4">
        <v>99</v>
      </c>
      <c r="S163" s="4">
        <v>1</v>
      </c>
      <c r="T163" s="4">
        <v>5</v>
      </c>
      <c r="U163" s="4">
        <v>7</v>
      </c>
      <c r="V163" s="4">
        <v>630</v>
      </c>
      <c r="X163" s="4">
        <v>121</v>
      </c>
      <c r="Y163" s="4">
        <v>158</v>
      </c>
      <c r="Z163" s="4">
        <v>98</v>
      </c>
      <c r="AA163" s="4">
        <v>97</v>
      </c>
      <c r="AB163" s="4">
        <v>1</v>
      </c>
      <c r="AC163" s="4">
        <v>4</v>
      </c>
      <c r="AD163" s="4">
        <v>7</v>
      </c>
      <c r="AE163" s="4">
        <v>852</v>
      </c>
      <c r="AF163" s="7">
        <f t="shared" si="17"/>
        <v>664.7296</v>
      </c>
      <c r="AG163" s="7">
        <f t="shared" si="15"/>
        <v>128.17241777709313</v>
      </c>
      <c r="AI163" s="7">
        <f t="shared" ref="AI163:AI190" si="18" xml:space="preserve"> 356.658-(2.303*D163)+(36.648*B163)+(1.704*C163)+(1.365*Y163-X163)</f>
        <v>698.17</v>
      </c>
      <c r="AK163" s="4">
        <f t="shared" si="16"/>
        <v>95.210278298981635</v>
      </c>
    </row>
    <row r="164" spans="1:37" x14ac:dyDescent="0.2">
      <c r="A164" s="4" t="s">
        <v>262</v>
      </c>
      <c r="B164" s="4">
        <v>0</v>
      </c>
      <c r="C164" s="4">
        <v>153</v>
      </c>
      <c r="D164" s="4">
        <v>22</v>
      </c>
      <c r="E164" s="4">
        <v>22.21</v>
      </c>
      <c r="F164" s="4">
        <v>103</v>
      </c>
      <c r="G164" s="4">
        <v>172</v>
      </c>
      <c r="H164" s="4">
        <v>99</v>
      </c>
      <c r="I164" s="4">
        <v>98</v>
      </c>
      <c r="J164" s="4">
        <v>3</v>
      </c>
      <c r="K164" s="4">
        <v>4</v>
      </c>
      <c r="L164" s="4">
        <v>5</v>
      </c>
      <c r="M164" s="4">
        <v>618</v>
      </c>
      <c r="O164" s="4">
        <v>56</v>
      </c>
      <c r="P164" s="4">
        <v>119</v>
      </c>
      <c r="Q164" s="4">
        <v>97</v>
      </c>
      <c r="R164" s="4">
        <v>98</v>
      </c>
      <c r="S164" s="4">
        <v>2</v>
      </c>
      <c r="T164" s="4">
        <v>3</v>
      </c>
      <c r="U164" s="4">
        <v>4</v>
      </c>
      <c r="V164" s="4">
        <v>660</v>
      </c>
      <c r="X164" s="4">
        <v>105</v>
      </c>
      <c r="Y164" s="4">
        <v>120</v>
      </c>
      <c r="Z164" s="4">
        <v>98</v>
      </c>
      <c r="AA164" s="4">
        <v>99</v>
      </c>
      <c r="AB164" s="4">
        <v>2</v>
      </c>
      <c r="AC164" s="4">
        <v>3</v>
      </c>
      <c r="AD164" s="4">
        <v>5</v>
      </c>
      <c r="AE164" s="4">
        <v>655</v>
      </c>
      <c r="AF164" s="7">
        <f t="shared" si="17"/>
        <v>664.57529999999997</v>
      </c>
      <c r="AG164" s="7">
        <f t="shared" si="15"/>
        <v>98.559185091591587</v>
      </c>
      <c r="AI164" s="7">
        <f t="shared" si="18"/>
        <v>625.50399999999991</v>
      </c>
      <c r="AK164" s="4">
        <f t="shared" si="16"/>
        <v>106.2463709264849</v>
      </c>
    </row>
    <row r="165" spans="1:37" x14ac:dyDescent="0.2">
      <c r="A165" s="4" t="s">
        <v>263</v>
      </c>
      <c r="B165" s="4">
        <v>0</v>
      </c>
      <c r="C165" s="4">
        <v>153</v>
      </c>
      <c r="D165" s="4">
        <v>23</v>
      </c>
      <c r="E165" s="4">
        <v>22.64</v>
      </c>
      <c r="F165" s="4">
        <v>63</v>
      </c>
      <c r="G165" s="4">
        <v>155</v>
      </c>
      <c r="H165" s="4">
        <v>99</v>
      </c>
      <c r="I165" s="4">
        <v>98</v>
      </c>
      <c r="J165" s="4">
        <v>3</v>
      </c>
      <c r="K165" s="4">
        <v>3</v>
      </c>
      <c r="L165" s="4">
        <v>4</v>
      </c>
      <c r="M165" s="4">
        <v>670</v>
      </c>
      <c r="O165" s="4">
        <v>122</v>
      </c>
      <c r="P165" s="4">
        <v>170</v>
      </c>
      <c r="Q165" s="4">
        <v>99</v>
      </c>
      <c r="R165" s="4">
        <v>99</v>
      </c>
      <c r="S165" s="4">
        <v>3</v>
      </c>
      <c r="T165" s="4">
        <v>3</v>
      </c>
      <c r="U165" s="4">
        <v>4</v>
      </c>
      <c r="V165" s="4">
        <v>780</v>
      </c>
      <c r="X165" s="4">
        <v>64</v>
      </c>
      <c r="Y165" s="4">
        <v>98</v>
      </c>
      <c r="Z165" s="4">
        <v>99</v>
      </c>
      <c r="AA165" s="4">
        <v>99</v>
      </c>
      <c r="AB165" s="4">
        <v>3</v>
      </c>
      <c r="AC165" s="4">
        <v>3</v>
      </c>
      <c r="AD165" s="4">
        <v>4</v>
      </c>
      <c r="AE165" s="4">
        <v>708</v>
      </c>
      <c r="AF165" s="7">
        <f t="shared" si="17"/>
        <v>657.92370000000005</v>
      </c>
      <c r="AG165" s="7">
        <f t="shared" si="15"/>
        <v>107.61126252177873</v>
      </c>
      <c r="AI165" s="7">
        <f t="shared" si="18"/>
        <v>634.17100000000005</v>
      </c>
      <c r="AK165" s="4">
        <f t="shared" si="16"/>
        <v>103.74547243566798</v>
      </c>
    </row>
    <row r="166" spans="1:37" x14ac:dyDescent="0.2">
      <c r="A166" s="4" t="s">
        <v>265</v>
      </c>
      <c r="B166" s="4">
        <v>1</v>
      </c>
      <c r="C166" s="4">
        <v>173</v>
      </c>
      <c r="D166" s="4">
        <v>24</v>
      </c>
      <c r="E166" s="4">
        <v>28.73</v>
      </c>
      <c r="F166" s="4">
        <v>88</v>
      </c>
      <c r="G166" s="4">
        <v>148</v>
      </c>
      <c r="H166" s="4">
        <v>98</v>
      </c>
      <c r="I166" s="4">
        <v>99</v>
      </c>
      <c r="J166" s="4">
        <v>2</v>
      </c>
      <c r="K166" s="4">
        <v>2</v>
      </c>
      <c r="L166" s="4">
        <v>3</v>
      </c>
      <c r="M166" s="4">
        <v>590</v>
      </c>
      <c r="O166" s="4">
        <v>119</v>
      </c>
      <c r="P166" s="4">
        <v>113</v>
      </c>
      <c r="Q166" s="4">
        <v>98</v>
      </c>
      <c r="R166" s="4">
        <v>98</v>
      </c>
      <c r="S166" s="4">
        <v>2</v>
      </c>
      <c r="T166" s="4">
        <v>2</v>
      </c>
      <c r="U166" s="4">
        <v>3</v>
      </c>
      <c r="V166" s="4">
        <v>760</v>
      </c>
      <c r="X166" s="4">
        <v>90</v>
      </c>
      <c r="Y166" s="4">
        <v>115</v>
      </c>
      <c r="Z166" s="4">
        <v>99</v>
      </c>
      <c r="AA166" s="4">
        <v>97</v>
      </c>
      <c r="AB166" s="4">
        <v>3</v>
      </c>
      <c r="AC166" s="4">
        <v>3</v>
      </c>
      <c r="AD166" s="4">
        <v>4</v>
      </c>
      <c r="AE166" s="4">
        <v>698</v>
      </c>
      <c r="AF166" s="7">
        <f t="shared" si="17"/>
        <v>672.64689999999996</v>
      </c>
      <c r="AG166" s="7">
        <f t="shared" si="15"/>
        <v>103.76915436613177</v>
      </c>
      <c r="AI166" s="7">
        <f t="shared" si="18"/>
        <v>699.80100000000004</v>
      </c>
      <c r="AK166" s="4">
        <f t="shared" si="16"/>
        <v>96.119739754587357</v>
      </c>
    </row>
    <row r="167" spans="1:37" x14ac:dyDescent="0.2">
      <c r="A167" s="4" t="s">
        <v>267</v>
      </c>
      <c r="B167" s="4">
        <v>0</v>
      </c>
      <c r="C167" s="4">
        <v>163</v>
      </c>
      <c r="D167" s="4">
        <v>29</v>
      </c>
      <c r="E167" s="4">
        <v>19.57</v>
      </c>
      <c r="F167" s="4">
        <v>126</v>
      </c>
      <c r="G167" s="4">
        <v>163</v>
      </c>
      <c r="H167" s="4">
        <v>97</v>
      </c>
      <c r="I167" s="4">
        <v>99</v>
      </c>
      <c r="J167" s="4">
        <v>1</v>
      </c>
      <c r="K167" s="4">
        <v>3</v>
      </c>
      <c r="L167" s="4">
        <v>5</v>
      </c>
      <c r="M167" s="4">
        <v>725</v>
      </c>
      <c r="O167" s="4">
        <v>120</v>
      </c>
      <c r="P167" s="4">
        <v>173</v>
      </c>
      <c r="Q167" s="4">
        <v>97</v>
      </c>
      <c r="R167" s="4">
        <v>99</v>
      </c>
      <c r="S167" s="4">
        <v>2</v>
      </c>
      <c r="T167" s="4">
        <v>3</v>
      </c>
      <c r="U167" s="4">
        <v>5</v>
      </c>
      <c r="V167" s="4">
        <v>740</v>
      </c>
      <c r="X167" s="4">
        <v>77</v>
      </c>
      <c r="Y167" s="4">
        <v>103</v>
      </c>
      <c r="Z167" s="4">
        <v>99</v>
      </c>
      <c r="AA167" s="4">
        <v>99</v>
      </c>
      <c r="AB167" s="4">
        <v>2</v>
      </c>
      <c r="AC167" s="4">
        <v>4</v>
      </c>
      <c r="AD167" s="4">
        <v>5</v>
      </c>
      <c r="AE167" s="4">
        <v>720</v>
      </c>
      <c r="AF167" s="7">
        <f t="shared" si="17"/>
        <v>646.97859999999991</v>
      </c>
      <c r="AG167" s="7">
        <f t="shared" si="15"/>
        <v>111.28652477840846</v>
      </c>
      <c r="AI167" s="7">
        <f t="shared" si="18"/>
        <v>631.21800000000007</v>
      </c>
      <c r="AK167" s="4">
        <f t="shared" si="16"/>
        <v>102.49685528612933</v>
      </c>
    </row>
    <row r="168" spans="1:37" x14ac:dyDescent="0.2">
      <c r="A168" s="4" t="s">
        <v>268</v>
      </c>
      <c r="B168" s="4">
        <v>1</v>
      </c>
      <c r="C168" s="4">
        <v>177</v>
      </c>
      <c r="D168" s="4">
        <v>23</v>
      </c>
      <c r="E168" s="4">
        <v>24.9</v>
      </c>
      <c r="F168" s="4">
        <v>91</v>
      </c>
      <c r="G168" s="4">
        <v>86</v>
      </c>
      <c r="H168" s="4">
        <v>99</v>
      </c>
      <c r="I168" s="4">
        <v>97</v>
      </c>
      <c r="J168" s="4">
        <v>0</v>
      </c>
      <c r="K168" s="4">
        <v>2</v>
      </c>
      <c r="L168" s="4">
        <v>2</v>
      </c>
      <c r="M168" s="4">
        <v>650</v>
      </c>
      <c r="O168" s="4">
        <v>80</v>
      </c>
      <c r="P168" s="4">
        <v>126</v>
      </c>
      <c r="Q168" s="4">
        <v>97</v>
      </c>
      <c r="R168" s="4">
        <v>98</v>
      </c>
      <c r="S168" s="4">
        <v>0</v>
      </c>
      <c r="T168" s="4">
        <v>2</v>
      </c>
      <c r="U168" s="4">
        <v>2</v>
      </c>
      <c r="V168" s="4">
        <v>706</v>
      </c>
      <c r="X168" s="4">
        <v>62</v>
      </c>
      <c r="Y168" s="4">
        <v>92</v>
      </c>
      <c r="Z168" s="4">
        <v>98</v>
      </c>
      <c r="AA168" s="4">
        <v>98</v>
      </c>
      <c r="AB168" s="4">
        <v>0</v>
      </c>
      <c r="AC168" s="4">
        <v>3</v>
      </c>
      <c r="AD168" s="4">
        <v>2</v>
      </c>
      <c r="AE168" s="4">
        <v>703</v>
      </c>
      <c r="AF168" s="7">
        <f t="shared" si="17"/>
        <v>695.78750000000002</v>
      </c>
      <c r="AG168" s="7">
        <f t="shared" si="15"/>
        <v>101.03659522483517</v>
      </c>
      <c r="AI168" s="7">
        <f t="shared" si="18"/>
        <v>705.52500000000009</v>
      </c>
      <c r="AK168" s="4">
        <f t="shared" si="16"/>
        <v>98.619822118280709</v>
      </c>
    </row>
    <row r="169" spans="1:37" x14ac:dyDescent="0.2">
      <c r="A169" s="4" t="s">
        <v>269</v>
      </c>
      <c r="B169" s="4">
        <v>0</v>
      </c>
      <c r="C169" s="4">
        <v>167</v>
      </c>
      <c r="D169" s="4">
        <v>30</v>
      </c>
      <c r="E169" s="4">
        <v>20.8</v>
      </c>
      <c r="F169" s="4">
        <v>126</v>
      </c>
      <c r="G169" s="4">
        <v>163</v>
      </c>
      <c r="H169" s="4">
        <v>97</v>
      </c>
      <c r="I169" s="4">
        <v>99</v>
      </c>
      <c r="J169" s="4">
        <v>1</v>
      </c>
      <c r="K169" s="4">
        <v>3</v>
      </c>
      <c r="L169" s="4">
        <v>5</v>
      </c>
      <c r="M169" s="4">
        <v>725</v>
      </c>
      <c r="O169" s="4">
        <v>120</v>
      </c>
      <c r="P169" s="4">
        <v>173</v>
      </c>
      <c r="Q169" s="4">
        <v>97</v>
      </c>
      <c r="R169" s="4">
        <v>99</v>
      </c>
      <c r="S169" s="4">
        <v>2</v>
      </c>
      <c r="T169" s="4">
        <v>3</v>
      </c>
      <c r="U169" s="4">
        <v>5</v>
      </c>
      <c r="V169" s="4">
        <v>740</v>
      </c>
      <c r="X169" s="4">
        <v>77</v>
      </c>
      <c r="Y169" s="4">
        <v>103</v>
      </c>
      <c r="Z169" s="4">
        <v>99</v>
      </c>
      <c r="AA169" s="4">
        <v>99</v>
      </c>
      <c r="AB169" s="4">
        <v>2</v>
      </c>
      <c r="AC169" s="4">
        <v>4</v>
      </c>
      <c r="AD169" s="4">
        <v>5</v>
      </c>
      <c r="AE169" s="4">
        <v>720</v>
      </c>
      <c r="AF169" s="7">
        <f t="shared" si="17"/>
        <v>636.91399999999999</v>
      </c>
      <c r="AG169" s="7">
        <f t="shared" si="15"/>
        <v>113.04508928991983</v>
      </c>
      <c r="AI169" s="7">
        <f t="shared" si="18"/>
        <v>635.73099999999999</v>
      </c>
      <c r="AK169" s="4">
        <f t="shared" si="16"/>
        <v>100.18608499506867</v>
      </c>
    </row>
    <row r="170" spans="1:37" x14ac:dyDescent="0.2">
      <c r="A170" s="4" t="s">
        <v>270</v>
      </c>
      <c r="B170" s="4">
        <v>0</v>
      </c>
      <c r="C170" s="4">
        <v>162</v>
      </c>
      <c r="D170" s="4">
        <v>26</v>
      </c>
      <c r="E170" s="4">
        <v>20.58</v>
      </c>
      <c r="F170" s="4">
        <v>118</v>
      </c>
      <c r="G170" s="4">
        <v>165</v>
      </c>
      <c r="H170" s="4">
        <v>97</v>
      </c>
      <c r="I170" s="4">
        <v>97</v>
      </c>
      <c r="J170" s="4">
        <v>2</v>
      </c>
      <c r="K170" s="4">
        <v>3</v>
      </c>
      <c r="L170" s="4">
        <v>5</v>
      </c>
      <c r="M170" s="4">
        <v>620</v>
      </c>
      <c r="O170" s="4">
        <v>123</v>
      </c>
      <c r="P170" s="4">
        <v>144</v>
      </c>
      <c r="Q170" s="4">
        <v>98</v>
      </c>
      <c r="R170" s="4">
        <v>96</v>
      </c>
      <c r="S170" s="4">
        <v>2</v>
      </c>
      <c r="T170" s="4">
        <v>5</v>
      </c>
      <c r="U170" s="4">
        <v>6</v>
      </c>
      <c r="V170" s="4">
        <v>686</v>
      </c>
      <c r="X170" s="4">
        <v>88</v>
      </c>
      <c r="Y170" s="4">
        <v>129</v>
      </c>
      <c r="Z170" s="4">
        <v>98</v>
      </c>
      <c r="AA170" s="4">
        <v>98</v>
      </c>
      <c r="AB170" s="4">
        <v>1</v>
      </c>
      <c r="AC170" s="4">
        <v>3</v>
      </c>
      <c r="AD170" s="4">
        <v>4</v>
      </c>
      <c r="AE170" s="4">
        <v>633</v>
      </c>
      <c r="AF170" s="7">
        <f t="shared" si="17"/>
        <v>654.69740000000002</v>
      </c>
      <c r="AG170" s="7">
        <f t="shared" si="15"/>
        <v>96.685888778541042</v>
      </c>
      <c r="AI170" s="7">
        <f t="shared" si="18"/>
        <v>660.91300000000001</v>
      </c>
      <c r="AK170" s="4">
        <f t="shared" si="16"/>
        <v>99.059543389220678</v>
      </c>
    </row>
    <row r="171" spans="1:37" x14ac:dyDescent="0.2">
      <c r="A171" s="4" t="s">
        <v>272</v>
      </c>
      <c r="B171" s="4">
        <v>0</v>
      </c>
      <c r="C171" s="4">
        <v>152</v>
      </c>
      <c r="D171" s="4">
        <v>23</v>
      </c>
      <c r="E171" s="4">
        <v>25.97</v>
      </c>
      <c r="F171" s="4">
        <v>103</v>
      </c>
      <c r="G171" s="4">
        <v>134</v>
      </c>
      <c r="H171" s="4">
        <v>97</v>
      </c>
      <c r="I171" s="4">
        <v>99</v>
      </c>
      <c r="J171" s="4">
        <v>1</v>
      </c>
      <c r="K171" s="4">
        <v>4</v>
      </c>
      <c r="L171" s="4">
        <v>8</v>
      </c>
      <c r="M171" s="4">
        <v>538</v>
      </c>
      <c r="O171" s="4">
        <v>101</v>
      </c>
      <c r="P171" s="4">
        <v>139</v>
      </c>
      <c r="Q171" s="4">
        <v>97</v>
      </c>
      <c r="R171" s="4">
        <v>97</v>
      </c>
      <c r="S171" s="4">
        <v>3</v>
      </c>
      <c r="T171" s="4">
        <v>5</v>
      </c>
      <c r="U171" s="4">
        <v>8</v>
      </c>
      <c r="V171" s="4">
        <v>563</v>
      </c>
      <c r="X171" s="4">
        <v>104</v>
      </c>
      <c r="Y171" s="4">
        <v>138</v>
      </c>
      <c r="Z171" s="4">
        <v>97</v>
      </c>
      <c r="AA171" s="4">
        <v>99</v>
      </c>
      <c r="AB171" s="4">
        <v>2</v>
      </c>
      <c r="AC171" s="4">
        <v>6</v>
      </c>
      <c r="AD171" s="4">
        <v>9</v>
      </c>
      <c r="AE171" s="4">
        <v>644</v>
      </c>
      <c r="AF171" s="7">
        <f t="shared" si="17"/>
        <v>641.70660000000009</v>
      </c>
      <c r="AG171" s="7">
        <f t="shared" si="15"/>
        <v>100.35739074524088</v>
      </c>
      <c r="AI171" s="7">
        <f t="shared" si="18"/>
        <v>647.06700000000001</v>
      </c>
      <c r="AK171" s="4">
        <f t="shared" si="16"/>
        <v>99.171585013607569</v>
      </c>
    </row>
    <row r="172" spans="1:37" x14ac:dyDescent="0.2">
      <c r="A172" s="4" t="s">
        <v>273</v>
      </c>
      <c r="B172" s="4">
        <v>0</v>
      </c>
      <c r="C172" s="4">
        <v>163</v>
      </c>
      <c r="D172" s="4">
        <v>22</v>
      </c>
      <c r="E172" s="4">
        <v>19.57</v>
      </c>
      <c r="F172" s="4">
        <v>104</v>
      </c>
      <c r="G172" s="4">
        <v>141</v>
      </c>
      <c r="H172" s="4">
        <v>100</v>
      </c>
      <c r="I172" s="4">
        <v>98</v>
      </c>
      <c r="J172" s="4">
        <v>2</v>
      </c>
      <c r="K172" s="4">
        <v>5</v>
      </c>
      <c r="L172" s="4">
        <v>7</v>
      </c>
      <c r="M172" s="4">
        <v>570</v>
      </c>
      <c r="O172" s="4">
        <v>80</v>
      </c>
      <c r="P172" s="4">
        <v>154</v>
      </c>
      <c r="Q172" s="4">
        <v>99</v>
      </c>
      <c r="R172" s="4">
        <v>99</v>
      </c>
      <c r="S172" s="4">
        <v>2</v>
      </c>
      <c r="T172" s="4">
        <v>7</v>
      </c>
      <c r="U172" s="4">
        <v>8</v>
      </c>
      <c r="V172" s="4">
        <v>634</v>
      </c>
      <c r="X172" s="4">
        <v>110</v>
      </c>
      <c r="Y172" s="4">
        <v>161</v>
      </c>
      <c r="Z172" s="4">
        <v>99</v>
      </c>
      <c r="AA172" s="4">
        <v>98</v>
      </c>
      <c r="AB172" s="4">
        <v>2</v>
      </c>
      <c r="AC172" s="4">
        <v>5</v>
      </c>
      <c r="AD172" s="4">
        <v>7</v>
      </c>
      <c r="AE172" s="4">
        <v>772</v>
      </c>
      <c r="AF172" s="7">
        <f t="shared" si="17"/>
        <v>677.43209999999999</v>
      </c>
      <c r="AG172" s="7">
        <f t="shared" si="15"/>
        <v>113.95976069040721</v>
      </c>
      <c r="AI172" s="7">
        <f t="shared" si="18"/>
        <v>693.50900000000001</v>
      </c>
      <c r="AK172" s="4">
        <f t="shared" si="16"/>
        <v>97.681803696851802</v>
      </c>
    </row>
    <row r="173" spans="1:37" x14ac:dyDescent="0.2">
      <c r="A173" s="4" t="s">
        <v>274</v>
      </c>
      <c r="B173" s="4">
        <v>1</v>
      </c>
      <c r="C173" s="4">
        <v>172</v>
      </c>
      <c r="D173" s="4">
        <v>30</v>
      </c>
      <c r="E173" s="4">
        <v>28.73</v>
      </c>
      <c r="F173" s="4">
        <v>112</v>
      </c>
      <c r="G173" s="4">
        <v>134</v>
      </c>
      <c r="H173" s="4">
        <v>96</v>
      </c>
      <c r="I173" s="4">
        <v>97</v>
      </c>
      <c r="J173" s="4">
        <v>0</v>
      </c>
      <c r="K173" s="4">
        <v>3</v>
      </c>
      <c r="L173" s="4">
        <v>4</v>
      </c>
      <c r="M173" s="4">
        <v>540</v>
      </c>
      <c r="O173" s="4">
        <v>110</v>
      </c>
      <c r="P173" s="4">
        <v>138</v>
      </c>
      <c r="Q173" s="4">
        <v>95</v>
      </c>
      <c r="R173" s="4">
        <v>97</v>
      </c>
      <c r="S173" s="4">
        <v>0</v>
      </c>
      <c r="T173" s="4">
        <v>3</v>
      </c>
      <c r="U173" s="4">
        <v>4</v>
      </c>
      <c r="V173" s="4">
        <v>580</v>
      </c>
      <c r="X173" s="4">
        <v>109</v>
      </c>
      <c r="Y173" s="4">
        <v>137</v>
      </c>
      <c r="Z173" s="4">
        <v>95</v>
      </c>
      <c r="AA173" s="4">
        <v>98</v>
      </c>
      <c r="AB173" s="4">
        <v>0</v>
      </c>
      <c r="AC173" s="4">
        <v>3</v>
      </c>
      <c r="AD173" s="4">
        <v>4</v>
      </c>
      <c r="AE173" s="4">
        <v>748</v>
      </c>
      <c r="AF173" s="7">
        <f t="shared" si="17"/>
        <v>647.16489999999999</v>
      </c>
      <c r="AG173" s="7">
        <f t="shared" si="15"/>
        <v>115.58105206261959</v>
      </c>
      <c r="AI173" s="7">
        <f t="shared" si="18"/>
        <v>695.30899999999997</v>
      </c>
      <c r="AK173" s="4">
        <f t="shared" si="16"/>
        <v>93.075869865052809</v>
      </c>
    </row>
    <row r="174" spans="1:37" x14ac:dyDescent="0.2">
      <c r="A174" s="4" t="s">
        <v>276</v>
      </c>
      <c r="B174" s="4">
        <v>0</v>
      </c>
      <c r="C174" s="4">
        <v>159</v>
      </c>
      <c r="D174" s="4">
        <v>53</v>
      </c>
      <c r="F174" s="4">
        <v>98</v>
      </c>
      <c r="G174" s="4">
        <v>146</v>
      </c>
      <c r="H174" s="4">
        <v>96</v>
      </c>
      <c r="I174" s="4">
        <v>98</v>
      </c>
      <c r="J174" s="4">
        <v>0</v>
      </c>
      <c r="K174" s="4">
        <v>0</v>
      </c>
      <c r="L174" s="4">
        <v>3</v>
      </c>
      <c r="M174" s="4">
        <v>540</v>
      </c>
      <c r="O174" s="4">
        <v>94</v>
      </c>
      <c r="P174" s="4">
        <v>142</v>
      </c>
      <c r="Q174" s="4">
        <v>99</v>
      </c>
      <c r="R174" s="4">
        <v>98</v>
      </c>
      <c r="S174" s="4">
        <v>0</v>
      </c>
      <c r="T174" s="4">
        <v>0</v>
      </c>
      <c r="U174" s="4">
        <v>3</v>
      </c>
      <c r="V174" s="4">
        <v>580</v>
      </c>
      <c r="X174" s="4">
        <v>85</v>
      </c>
      <c r="Y174" s="4">
        <v>121</v>
      </c>
      <c r="Z174" s="4">
        <v>99</v>
      </c>
      <c r="AA174" s="4">
        <v>98</v>
      </c>
      <c r="AB174" s="4">
        <v>0</v>
      </c>
      <c r="AC174" s="4">
        <v>4</v>
      </c>
      <c r="AD174" s="4">
        <v>4</v>
      </c>
      <c r="AE174" s="4">
        <v>600</v>
      </c>
      <c r="AF174" s="7">
        <f t="shared" si="17"/>
        <v>663.54050000000007</v>
      </c>
      <c r="AG174" s="7">
        <f t="shared" si="15"/>
        <v>90.424020839722658</v>
      </c>
      <c r="AI174" s="7">
        <f t="shared" si="18"/>
        <v>585.69999999999993</v>
      </c>
      <c r="AK174" s="4">
        <f t="shared" si="16"/>
        <v>113.29016561379548</v>
      </c>
    </row>
    <row r="175" spans="1:37" x14ac:dyDescent="0.2">
      <c r="A175" s="4" t="s">
        <v>278</v>
      </c>
      <c r="B175" s="4">
        <v>0</v>
      </c>
      <c r="C175" s="4">
        <v>156</v>
      </c>
      <c r="D175" s="4">
        <v>22</v>
      </c>
      <c r="E175" s="4">
        <v>25.89</v>
      </c>
      <c r="F175" s="4">
        <v>95</v>
      </c>
      <c r="G175" s="4">
        <v>122</v>
      </c>
      <c r="H175" s="4">
        <v>98</v>
      </c>
      <c r="I175" s="4">
        <v>98</v>
      </c>
      <c r="J175" s="4">
        <v>2</v>
      </c>
      <c r="K175" s="4">
        <v>2</v>
      </c>
      <c r="L175" s="4">
        <v>4</v>
      </c>
      <c r="M175" s="4">
        <v>580</v>
      </c>
      <c r="O175" s="4">
        <v>89</v>
      </c>
      <c r="P175" s="4">
        <v>119</v>
      </c>
      <c r="Q175" s="4">
        <v>99</v>
      </c>
      <c r="R175" s="4">
        <v>97</v>
      </c>
      <c r="S175" s="4">
        <v>1</v>
      </c>
      <c r="T175" s="4">
        <v>2</v>
      </c>
      <c r="U175" s="4">
        <v>2</v>
      </c>
      <c r="V175" s="4">
        <v>597</v>
      </c>
      <c r="X175" s="4">
        <v>70</v>
      </c>
      <c r="Y175" s="4">
        <v>150</v>
      </c>
      <c r="Z175" s="4">
        <v>99</v>
      </c>
      <c r="AA175" s="4">
        <v>97</v>
      </c>
      <c r="AB175" s="4">
        <v>0</v>
      </c>
      <c r="AC175" s="4">
        <v>2</v>
      </c>
      <c r="AD175" s="4">
        <v>4</v>
      </c>
      <c r="AE175" s="4">
        <v>720</v>
      </c>
      <c r="AF175" s="7">
        <f t="shared" si="17"/>
        <v>646.65369999999996</v>
      </c>
      <c r="AG175" s="7">
        <f t="shared" si="15"/>
        <v>111.34243877364345</v>
      </c>
      <c r="AI175" s="7">
        <f t="shared" si="18"/>
        <v>706.56600000000003</v>
      </c>
      <c r="AK175" s="4">
        <f t="shared" si="16"/>
        <v>91.520636430283929</v>
      </c>
    </row>
    <row r="176" spans="1:37" x14ac:dyDescent="0.2">
      <c r="A176" s="4" t="s">
        <v>279</v>
      </c>
      <c r="B176" s="4">
        <v>1</v>
      </c>
      <c r="C176" s="4">
        <v>188</v>
      </c>
      <c r="D176" s="4">
        <v>38</v>
      </c>
      <c r="E176" s="4">
        <v>27.16</v>
      </c>
      <c r="F176" s="4">
        <v>76</v>
      </c>
      <c r="G176" s="4">
        <v>118</v>
      </c>
      <c r="H176" s="4">
        <v>97</v>
      </c>
      <c r="I176" s="4">
        <v>97</v>
      </c>
      <c r="J176" s="4">
        <v>0</v>
      </c>
      <c r="K176" s="4">
        <v>5</v>
      </c>
      <c r="L176" s="4">
        <v>6</v>
      </c>
      <c r="M176" s="4">
        <v>650</v>
      </c>
      <c r="O176" s="4">
        <v>77</v>
      </c>
      <c r="P176" s="4">
        <v>112</v>
      </c>
      <c r="Q176" s="4">
        <v>98</v>
      </c>
      <c r="R176" s="4">
        <v>98</v>
      </c>
      <c r="S176" s="4">
        <v>0</v>
      </c>
      <c r="T176" s="4">
        <v>4</v>
      </c>
      <c r="U176" s="4">
        <v>7</v>
      </c>
      <c r="V176" s="4">
        <v>790</v>
      </c>
      <c r="X176" s="4">
        <v>91</v>
      </c>
      <c r="Y176" s="4">
        <v>70</v>
      </c>
      <c r="Z176" s="4">
        <v>97</v>
      </c>
      <c r="AA176" s="4">
        <v>98</v>
      </c>
      <c r="AB176" s="4">
        <v>0</v>
      </c>
      <c r="AC176" s="4">
        <v>3</v>
      </c>
      <c r="AD176" s="4">
        <v>5</v>
      </c>
      <c r="AE176" s="4">
        <v>756</v>
      </c>
      <c r="AF176" s="7">
        <f t="shared" si="17"/>
        <v>624.69879999999989</v>
      </c>
      <c r="AG176" s="7">
        <f t="shared" si="15"/>
        <v>121.01832114932832</v>
      </c>
      <c r="AI176" s="7">
        <f t="shared" si="18"/>
        <v>630.69399999999996</v>
      </c>
      <c r="AK176" s="4">
        <f t="shared" si="16"/>
        <v>99.04942809032589</v>
      </c>
    </row>
    <row r="177" spans="1:37" x14ac:dyDescent="0.2">
      <c r="A177" s="4" t="s">
        <v>280</v>
      </c>
      <c r="B177" s="4">
        <v>0</v>
      </c>
      <c r="C177" s="4">
        <v>166</v>
      </c>
      <c r="D177" s="4">
        <v>65</v>
      </c>
      <c r="E177" s="4">
        <v>23.59</v>
      </c>
      <c r="F177" s="4">
        <v>104</v>
      </c>
      <c r="G177" s="4">
        <v>110</v>
      </c>
      <c r="H177" s="4">
        <v>98</v>
      </c>
      <c r="I177" s="4">
        <v>99</v>
      </c>
      <c r="J177" s="4">
        <v>0</v>
      </c>
      <c r="K177" s="4">
        <v>2</v>
      </c>
      <c r="L177" s="4">
        <v>3</v>
      </c>
      <c r="M177" s="4">
        <v>610</v>
      </c>
      <c r="O177" s="4">
        <v>77</v>
      </c>
      <c r="P177" s="4">
        <v>105</v>
      </c>
      <c r="Q177" s="4">
        <v>98</v>
      </c>
      <c r="R177" s="4">
        <v>99</v>
      </c>
      <c r="S177" s="4">
        <v>0</v>
      </c>
      <c r="T177" s="4">
        <v>1</v>
      </c>
      <c r="U177" s="4">
        <v>1</v>
      </c>
      <c r="V177" s="4">
        <v>540</v>
      </c>
      <c r="X177" s="4">
        <v>81</v>
      </c>
      <c r="Y177" s="4">
        <v>99</v>
      </c>
      <c r="Z177" s="4">
        <v>97</v>
      </c>
      <c r="AA177" s="4">
        <v>99</v>
      </c>
      <c r="AB177" s="4">
        <v>0</v>
      </c>
      <c r="AC177" s="4">
        <v>2</v>
      </c>
      <c r="AD177" s="4">
        <v>4</v>
      </c>
      <c r="AE177" s="4">
        <v>540</v>
      </c>
      <c r="AF177" s="7">
        <f t="shared" si="17"/>
        <v>524.18920000000003</v>
      </c>
      <c r="AG177" s="7">
        <f t="shared" si="15"/>
        <v>103.01623917471019</v>
      </c>
      <c r="AI177" s="7">
        <f t="shared" si="18"/>
        <v>543.96199999999999</v>
      </c>
      <c r="AK177" s="4">
        <f t="shared" si="16"/>
        <v>96.365040205014324</v>
      </c>
    </row>
    <row r="178" spans="1:37" x14ac:dyDescent="0.2">
      <c r="A178" s="4" t="s">
        <v>282</v>
      </c>
      <c r="B178" s="4">
        <v>0</v>
      </c>
      <c r="C178" s="4">
        <v>158</v>
      </c>
      <c r="D178" s="4">
        <v>62</v>
      </c>
      <c r="E178" s="4">
        <v>24.84</v>
      </c>
      <c r="F178" s="4">
        <v>107</v>
      </c>
      <c r="G178" s="4">
        <v>115</v>
      </c>
      <c r="H178" s="4">
        <v>96</v>
      </c>
      <c r="I178" s="4">
        <v>96</v>
      </c>
      <c r="J178" s="4">
        <v>0</v>
      </c>
      <c r="K178" s="4">
        <v>2</v>
      </c>
      <c r="L178" s="4">
        <v>5</v>
      </c>
      <c r="M178" s="4">
        <v>470</v>
      </c>
      <c r="O178" s="4">
        <v>95</v>
      </c>
      <c r="P178" s="4">
        <v>114</v>
      </c>
      <c r="Q178" s="4">
        <v>95</v>
      </c>
      <c r="R178" s="4">
        <v>97</v>
      </c>
      <c r="S178" s="4">
        <v>0</v>
      </c>
      <c r="T178" s="4">
        <v>2</v>
      </c>
      <c r="U178" s="4">
        <v>3</v>
      </c>
      <c r="V178" s="4">
        <v>546</v>
      </c>
      <c r="X178" s="4">
        <v>94</v>
      </c>
      <c r="Y178" s="4">
        <v>101</v>
      </c>
      <c r="Z178" s="4">
        <v>92</v>
      </c>
      <c r="AA178" s="4">
        <v>98</v>
      </c>
      <c r="AB178" s="4">
        <v>0</v>
      </c>
      <c r="AC178" s="4">
        <v>2</v>
      </c>
      <c r="AD178" s="4">
        <v>4</v>
      </c>
      <c r="AE178" s="4">
        <v>600</v>
      </c>
      <c r="AF178" s="7">
        <f t="shared" si="17"/>
        <v>523.28719999999998</v>
      </c>
      <c r="AG178" s="7">
        <f t="shared" si="15"/>
        <v>114.65978911771586</v>
      </c>
      <c r="AI178" s="7">
        <f t="shared" si="18"/>
        <v>526.96900000000005</v>
      </c>
      <c r="AK178" s="4">
        <f t="shared" si="16"/>
        <v>99.301325125386882</v>
      </c>
    </row>
    <row r="179" spans="1:37" x14ac:dyDescent="0.2">
      <c r="A179" s="4" t="s">
        <v>284</v>
      </c>
      <c r="B179" s="4">
        <v>0</v>
      </c>
      <c r="C179" s="4">
        <v>153</v>
      </c>
      <c r="D179" s="4">
        <v>44</v>
      </c>
      <c r="E179" s="4">
        <v>18.8</v>
      </c>
      <c r="F179" s="4">
        <v>106</v>
      </c>
      <c r="G179" s="4">
        <v>168</v>
      </c>
      <c r="H179" s="4">
        <v>97</v>
      </c>
      <c r="I179" s="4">
        <v>95</v>
      </c>
      <c r="J179" s="4">
        <v>1</v>
      </c>
      <c r="K179" s="4">
        <v>2</v>
      </c>
      <c r="L179" s="4">
        <v>2</v>
      </c>
      <c r="M179" s="4">
        <v>660</v>
      </c>
      <c r="O179" s="4">
        <v>92</v>
      </c>
      <c r="P179" s="4">
        <v>92</v>
      </c>
      <c r="Q179" s="4">
        <v>99</v>
      </c>
      <c r="R179" s="4">
        <v>99</v>
      </c>
      <c r="S179" s="4">
        <v>2</v>
      </c>
      <c r="T179" s="4">
        <v>3</v>
      </c>
      <c r="U179" s="4">
        <v>5</v>
      </c>
      <c r="V179" s="4">
        <v>586</v>
      </c>
      <c r="X179" s="4">
        <v>106</v>
      </c>
      <c r="Y179" s="4">
        <v>168</v>
      </c>
      <c r="Z179" s="4">
        <v>97</v>
      </c>
      <c r="AA179" s="4">
        <v>95</v>
      </c>
      <c r="AB179" s="4">
        <v>1</v>
      </c>
      <c r="AC179" s="4">
        <v>2</v>
      </c>
      <c r="AD179" s="4">
        <v>2</v>
      </c>
      <c r="AE179" s="4">
        <v>660</v>
      </c>
      <c r="AF179" s="7">
        <f t="shared" si="17"/>
        <v>596.85599999999999</v>
      </c>
      <c r="AG179" s="7">
        <f t="shared" si="15"/>
        <v>110.57943624592868</v>
      </c>
      <c r="AI179" s="7">
        <f t="shared" si="18"/>
        <v>639.35799999999995</v>
      </c>
      <c r="AK179" s="4">
        <f t="shared" si="16"/>
        <v>93.352394120351988</v>
      </c>
    </row>
    <row r="180" spans="1:37" x14ac:dyDescent="0.2">
      <c r="A180" s="4" t="s">
        <v>286</v>
      </c>
      <c r="B180" s="4">
        <v>0</v>
      </c>
      <c r="C180" s="4">
        <v>162</v>
      </c>
      <c r="D180" s="4">
        <v>22</v>
      </c>
      <c r="E180" s="4">
        <v>34.29</v>
      </c>
      <c r="F180" s="4">
        <v>64</v>
      </c>
      <c r="G180" s="4">
        <v>153</v>
      </c>
      <c r="H180" s="4">
        <v>97</v>
      </c>
      <c r="I180" s="4">
        <v>99</v>
      </c>
      <c r="J180" s="4">
        <v>0</v>
      </c>
      <c r="K180" s="4">
        <v>5</v>
      </c>
      <c r="L180" s="4">
        <v>5</v>
      </c>
      <c r="M180" s="4">
        <v>590</v>
      </c>
      <c r="O180" s="4">
        <v>115</v>
      </c>
      <c r="P180" s="4">
        <v>165</v>
      </c>
      <c r="Q180" s="4">
        <v>98</v>
      </c>
      <c r="R180" s="4">
        <v>98</v>
      </c>
      <c r="S180" s="4">
        <v>0</v>
      </c>
      <c r="T180" s="4">
        <v>5</v>
      </c>
      <c r="U180" s="4">
        <v>5</v>
      </c>
      <c r="V180" s="4">
        <v>620</v>
      </c>
      <c r="X180" s="4">
        <v>111</v>
      </c>
      <c r="Y180" s="4">
        <v>144</v>
      </c>
      <c r="Z180" s="4">
        <v>96</v>
      </c>
      <c r="AA180" s="4">
        <v>97</v>
      </c>
      <c r="AB180" s="4">
        <v>0</v>
      </c>
      <c r="AC180" s="4">
        <v>7</v>
      </c>
      <c r="AD180" s="4">
        <v>7</v>
      </c>
      <c r="AE180" s="4">
        <v>640</v>
      </c>
      <c r="AF180" s="7">
        <f t="shared" si="17"/>
        <v>605.74569999999994</v>
      </c>
      <c r="AG180" s="7">
        <f t="shared" si="15"/>
        <v>105.65489775659984</v>
      </c>
      <c r="AI180" s="7">
        <f t="shared" si="18"/>
        <v>667.59999999999991</v>
      </c>
      <c r="AK180" s="4">
        <f t="shared" si="16"/>
        <v>90.734826243259434</v>
      </c>
    </row>
    <row r="181" spans="1:37" x14ac:dyDescent="0.2">
      <c r="A181" s="4" t="s">
        <v>288</v>
      </c>
      <c r="B181" s="4">
        <v>0</v>
      </c>
      <c r="C181" s="4">
        <v>155</v>
      </c>
      <c r="D181" s="4">
        <v>24</v>
      </c>
      <c r="E181" s="4">
        <v>18.73</v>
      </c>
      <c r="F181" s="4">
        <v>101</v>
      </c>
      <c r="G181" s="4">
        <v>91</v>
      </c>
      <c r="H181" s="4">
        <v>98</v>
      </c>
      <c r="I181" s="4">
        <v>99</v>
      </c>
      <c r="J181" s="4">
        <v>0</v>
      </c>
      <c r="K181" s="4">
        <v>2</v>
      </c>
      <c r="L181" s="4">
        <v>2</v>
      </c>
      <c r="M181" s="4">
        <v>613</v>
      </c>
      <c r="O181" s="4">
        <v>99</v>
      </c>
      <c r="P181" s="4">
        <v>136</v>
      </c>
      <c r="Q181" s="4">
        <v>99</v>
      </c>
      <c r="R181" s="4">
        <v>99</v>
      </c>
      <c r="S181" s="4">
        <v>0</v>
      </c>
      <c r="T181" s="4">
        <v>3</v>
      </c>
      <c r="U181" s="4">
        <v>5</v>
      </c>
      <c r="V181" s="4">
        <v>750</v>
      </c>
      <c r="X181" s="4">
        <v>99</v>
      </c>
      <c r="Y181" s="4">
        <v>161</v>
      </c>
      <c r="Z181" s="4">
        <v>99</v>
      </c>
      <c r="AA181" s="4">
        <v>99</v>
      </c>
      <c r="AB181" s="4">
        <v>0</v>
      </c>
      <c r="AC181" s="4">
        <v>3</v>
      </c>
      <c r="AD181" s="4">
        <v>3</v>
      </c>
      <c r="AE181" s="4">
        <v>620</v>
      </c>
      <c r="AF181" s="7">
        <f t="shared" si="17"/>
        <v>672.4769</v>
      </c>
      <c r="AG181" s="7">
        <f t="shared" si="15"/>
        <v>92.196475447706831</v>
      </c>
      <c r="AI181" s="7">
        <f t="shared" si="18"/>
        <v>686.27100000000007</v>
      </c>
      <c r="AK181" s="4">
        <f t="shared" si="16"/>
        <v>97.989992291674852</v>
      </c>
    </row>
    <row r="182" spans="1:37" x14ac:dyDescent="0.2">
      <c r="A182" s="4" t="s">
        <v>290</v>
      </c>
      <c r="B182" s="4">
        <v>0</v>
      </c>
      <c r="C182" s="4">
        <v>162</v>
      </c>
      <c r="D182" s="4">
        <v>27</v>
      </c>
      <c r="E182" s="4">
        <v>21.72</v>
      </c>
      <c r="F182" s="4">
        <v>75</v>
      </c>
      <c r="G182" s="4">
        <v>173</v>
      </c>
      <c r="H182" s="4">
        <v>93</v>
      </c>
      <c r="I182" s="4">
        <v>89</v>
      </c>
      <c r="J182" s="4">
        <v>0</v>
      </c>
      <c r="K182" s="4">
        <v>1</v>
      </c>
      <c r="L182" s="4">
        <v>2</v>
      </c>
      <c r="M182" s="4">
        <v>520</v>
      </c>
      <c r="O182" s="4">
        <v>103</v>
      </c>
      <c r="P182" s="4">
        <v>170</v>
      </c>
      <c r="Q182" s="4">
        <v>97</v>
      </c>
      <c r="R182" s="4">
        <v>97</v>
      </c>
      <c r="S182" s="4">
        <v>0</v>
      </c>
      <c r="T182" s="4">
        <v>1</v>
      </c>
      <c r="U182" s="4">
        <v>3</v>
      </c>
      <c r="V182" s="4">
        <v>644</v>
      </c>
      <c r="X182" s="4">
        <v>79</v>
      </c>
      <c r="Y182" s="4">
        <v>90</v>
      </c>
      <c r="Z182" s="4">
        <v>95</v>
      </c>
      <c r="AA182" s="4">
        <v>97</v>
      </c>
      <c r="AB182" s="4">
        <v>0</v>
      </c>
      <c r="AC182" s="4">
        <v>0</v>
      </c>
      <c r="AD182" s="4">
        <v>0</v>
      </c>
      <c r="AE182" s="4">
        <v>657</v>
      </c>
      <c r="AF182" s="7">
        <f t="shared" si="17"/>
        <v>644.86410000000001</v>
      </c>
      <c r="AG182" s="7">
        <f t="shared" si="15"/>
        <v>101.8819314022908</v>
      </c>
      <c r="AI182" s="7">
        <f t="shared" si="18"/>
        <v>614.37500000000011</v>
      </c>
      <c r="AK182" s="4">
        <f t="shared" si="16"/>
        <v>104.96262054933874</v>
      </c>
    </row>
    <row r="183" spans="1:37" x14ac:dyDescent="0.2">
      <c r="A183" s="4" t="s">
        <v>291</v>
      </c>
      <c r="B183" s="4">
        <v>0</v>
      </c>
      <c r="C183" s="4">
        <v>175</v>
      </c>
      <c r="D183" s="4">
        <v>35</v>
      </c>
      <c r="E183" s="4">
        <v>26.78</v>
      </c>
      <c r="F183" s="4">
        <v>111</v>
      </c>
      <c r="G183" s="4">
        <v>103</v>
      </c>
      <c r="H183" s="4">
        <v>97</v>
      </c>
      <c r="I183" s="4">
        <v>96</v>
      </c>
      <c r="J183" s="4">
        <v>0</v>
      </c>
      <c r="K183" s="4">
        <v>5</v>
      </c>
      <c r="L183" s="4">
        <v>7</v>
      </c>
      <c r="M183" s="4">
        <v>640</v>
      </c>
      <c r="O183" s="4">
        <v>89</v>
      </c>
      <c r="P183" s="4">
        <v>134</v>
      </c>
      <c r="Q183" s="4">
        <v>97</v>
      </c>
      <c r="R183" s="4">
        <v>92</v>
      </c>
      <c r="S183" s="4">
        <v>0</v>
      </c>
      <c r="T183" s="4">
        <v>5</v>
      </c>
      <c r="U183" s="4">
        <v>8</v>
      </c>
      <c r="V183" s="4">
        <v>790</v>
      </c>
      <c r="X183" s="4">
        <v>98</v>
      </c>
      <c r="Y183" s="4">
        <v>126</v>
      </c>
      <c r="Z183" s="4">
        <v>97</v>
      </c>
      <c r="AA183" s="4">
        <v>97</v>
      </c>
      <c r="AB183" s="4">
        <v>0</v>
      </c>
      <c r="AC183" s="4">
        <v>4</v>
      </c>
      <c r="AD183" s="4">
        <v>7</v>
      </c>
      <c r="AE183" s="4">
        <v>786</v>
      </c>
      <c r="AF183" s="7">
        <f t="shared" si="17"/>
        <v>588.45390000000009</v>
      </c>
      <c r="AG183" s="7">
        <f t="shared" si="15"/>
        <v>133.5703612466499</v>
      </c>
      <c r="AI183" s="7">
        <f t="shared" si="18"/>
        <v>648.24299999999994</v>
      </c>
      <c r="AK183" s="4">
        <f t="shared" si="16"/>
        <v>90.776745757378038</v>
      </c>
    </row>
    <row r="184" spans="1:37" x14ac:dyDescent="0.2">
      <c r="A184" s="4" t="s">
        <v>294</v>
      </c>
      <c r="B184" s="4">
        <v>0</v>
      </c>
      <c r="C184" s="4">
        <v>165</v>
      </c>
      <c r="D184" s="4">
        <v>39</v>
      </c>
      <c r="E184" s="4">
        <v>25.34</v>
      </c>
      <c r="F184" s="4">
        <v>101</v>
      </c>
      <c r="G184" s="4">
        <v>133</v>
      </c>
      <c r="H184" s="4">
        <v>96</v>
      </c>
      <c r="I184" s="4">
        <v>99</v>
      </c>
      <c r="J184" s="4">
        <v>0</v>
      </c>
      <c r="K184" s="4">
        <v>6</v>
      </c>
      <c r="L184" s="4">
        <v>6</v>
      </c>
      <c r="M184" s="4">
        <v>670</v>
      </c>
      <c r="O184" s="4">
        <v>92</v>
      </c>
      <c r="P184" s="4">
        <v>115</v>
      </c>
      <c r="Q184" s="4">
        <v>99</v>
      </c>
      <c r="R184" s="4">
        <v>99</v>
      </c>
      <c r="S184" s="4">
        <v>0</v>
      </c>
      <c r="T184" s="4">
        <v>3</v>
      </c>
      <c r="U184" s="4">
        <v>4</v>
      </c>
      <c r="V184" s="4">
        <v>664</v>
      </c>
      <c r="X184" s="4">
        <v>75</v>
      </c>
      <c r="Y184" s="4">
        <v>95</v>
      </c>
      <c r="Z184" s="4">
        <v>97</v>
      </c>
      <c r="AA184" s="4">
        <v>97</v>
      </c>
      <c r="AB184" s="4">
        <v>0</v>
      </c>
      <c r="AC184" s="4">
        <v>4</v>
      </c>
      <c r="AD184" s="4">
        <v>4</v>
      </c>
      <c r="AE184" s="4">
        <v>750</v>
      </c>
      <c r="AF184" s="7">
        <f t="shared" si="17"/>
        <v>581.23870000000011</v>
      </c>
      <c r="AG184" s="7">
        <f t="shared" si="15"/>
        <v>129.03476661137668</v>
      </c>
      <c r="AI184" s="7">
        <f t="shared" si="18"/>
        <v>602.67599999999993</v>
      </c>
      <c r="AK184" s="4">
        <f t="shared" si="16"/>
        <v>96.442980971533657</v>
      </c>
    </row>
    <row r="185" spans="1:37" x14ac:dyDescent="0.2">
      <c r="A185" s="4" t="s">
        <v>295</v>
      </c>
      <c r="B185" s="4">
        <v>1</v>
      </c>
      <c r="C185" s="4">
        <v>184</v>
      </c>
      <c r="D185" s="4">
        <v>27</v>
      </c>
      <c r="E185" s="4">
        <v>26.84</v>
      </c>
      <c r="F185" s="4">
        <v>63</v>
      </c>
      <c r="G185" s="4">
        <v>124</v>
      </c>
      <c r="H185" s="4">
        <v>99</v>
      </c>
      <c r="I185" s="4">
        <v>97</v>
      </c>
      <c r="J185" s="4">
        <v>1</v>
      </c>
      <c r="K185" s="4">
        <v>4</v>
      </c>
      <c r="L185" s="4">
        <v>5</v>
      </c>
      <c r="M185" s="4">
        <v>587</v>
      </c>
      <c r="O185" s="4">
        <v>111</v>
      </c>
      <c r="P185" s="4">
        <v>122</v>
      </c>
      <c r="Q185" s="4">
        <v>98</v>
      </c>
      <c r="R185" s="4">
        <v>94</v>
      </c>
      <c r="S185" s="4">
        <v>0</v>
      </c>
      <c r="T185" s="4">
        <v>3</v>
      </c>
      <c r="U185" s="4">
        <v>4</v>
      </c>
      <c r="V185" s="4">
        <v>640</v>
      </c>
      <c r="X185" s="4">
        <v>98</v>
      </c>
      <c r="Y185" s="4">
        <v>122</v>
      </c>
      <c r="Z185" s="4">
        <v>97</v>
      </c>
      <c r="AA185" s="4">
        <v>98</v>
      </c>
      <c r="AB185" s="4">
        <v>0</v>
      </c>
      <c r="AC185" s="4">
        <v>3</v>
      </c>
      <c r="AD185" s="4">
        <v>4</v>
      </c>
      <c r="AE185" s="4">
        <v>657</v>
      </c>
      <c r="AF185" s="7">
        <f t="shared" si="17"/>
        <v>668.79970000000003</v>
      </c>
      <c r="AG185" s="7">
        <f t="shared" si="15"/>
        <v>98.235689998066675</v>
      </c>
      <c r="AI185" s="7">
        <f t="shared" si="18"/>
        <v>713.19100000000003</v>
      </c>
      <c r="AK185" s="4">
        <f t="shared" si="16"/>
        <v>93.775678605030066</v>
      </c>
    </row>
    <row r="186" spans="1:37" x14ac:dyDescent="0.2">
      <c r="A186" s="4" t="s">
        <v>296</v>
      </c>
      <c r="B186" s="4">
        <v>0</v>
      </c>
      <c r="C186" s="4">
        <v>173</v>
      </c>
      <c r="D186" s="4">
        <v>24</v>
      </c>
      <c r="E186" s="4">
        <v>19.05</v>
      </c>
      <c r="F186" s="4">
        <v>114</v>
      </c>
      <c r="G186" s="4">
        <v>192</v>
      </c>
      <c r="H186" s="4">
        <v>98</v>
      </c>
      <c r="I186" s="4">
        <v>97</v>
      </c>
      <c r="J186" s="4">
        <v>1</v>
      </c>
      <c r="K186" s="4">
        <v>3</v>
      </c>
      <c r="L186" s="4">
        <v>5</v>
      </c>
      <c r="M186" s="4">
        <v>500</v>
      </c>
      <c r="O186" s="4">
        <v>102</v>
      </c>
      <c r="P186" s="4">
        <v>120</v>
      </c>
      <c r="Q186" s="4">
        <v>98</v>
      </c>
      <c r="R186" s="4">
        <v>98</v>
      </c>
      <c r="S186" s="4">
        <v>0</v>
      </c>
      <c r="T186" s="4">
        <v>2</v>
      </c>
      <c r="U186" s="4">
        <v>4</v>
      </c>
      <c r="V186" s="4">
        <v>640</v>
      </c>
      <c r="X186" s="4">
        <v>99</v>
      </c>
      <c r="Y186" s="4">
        <v>144</v>
      </c>
      <c r="Z186" s="4">
        <v>99</v>
      </c>
      <c r="AA186" s="4">
        <v>99</v>
      </c>
      <c r="AB186" s="4">
        <v>0</v>
      </c>
      <c r="AC186" s="4">
        <v>2</v>
      </c>
      <c r="AD186" s="4">
        <v>3</v>
      </c>
      <c r="AE186" s="4">
        <v>630</v>
      </c>
      <c r="AF186" s="7">
        <f t="shared" si="17"/>
        <v>670.91849999999999</v>
      </c>
      <c r="AG186" s="7">
        <f t="shared" si="15"/>
        <v>93.901122118409319</v>
      </c>
      <c r="AI186" s="7">
        <f t="shared" si="18"/>
        <v>693.73800000000006</v>
      </c>
      <c r="AK186" s="4">
        <f t="shared" si="16"/>
        <v>96.710645805765282</v>
      </c>
    </row>
    <row r="187" spans="1:37" x14ac:dyDescent="0.2">
      <c r="A187" s="4" t="s">
        <v>297</v>
      </c>
      <c r="B187" s="4">
        <v>0</v>
      </c>
      <c r="C187" s="4">
        <v>165</v>
      </c>
      <c r="D187" s="4">
        <v>23</v>
      </c>
      <c r="E187" s="4">
        <v>20.2</v>
      </c>
      <c r="F187" s="4">
        <v>92</v>
      </c>
      <c r="G187" s="4">
        <v>121</v>
      </c>
      <c r="H187" s="4">
        <v>97</v>
      </c>
      <c r="I187" s="4">
        <v>99</v>
      </c>
      <c r="J187" s="4">
        <v>0</v>
      </c>
      <c r="K187" s="4">
        <v>2</v>
      </c>
      <c r="L187" s="4">
        <v>2</v>
      </c>
      <c r="M187" s="4">
        <v>560</v>
      </c>
      <c r="O187" s="4">
        <v>98</v>
      </c>
      <c r="P187" s="4">
        <v>141</v>
      </c>
      <c r="Q187" s="4">
        <v>99</v>
      </c>
      <c r="R187" s="4">
        <v>97</v>
      </c>
      <c r="S187" s="4">
        <v>0</v>
      </c>
      <c r="T187" s="4">
        <v>2</v>
      </c>
      <c r="U187" s="4">
        <v>3</v>
      </c>
      <c r="V187" s="4">
        <v>680</v>
      </c>
      <c r="X187" s="4">
        <v>104</v>
      </c>
      <c r="Y187" s="4">
        <v>109</v>
      </c>
      <c r="Z187" s="4">
        <v>99</v>
      </c>
      <c r="AA187" s="4">
        <v>99</v>
      </c>
      <c r="AB187" s="4">
        <v>0</v>
      </c>
      <c r="AC187" s="4">
        <v>1</v>
      </c>
      <c r="AD187" s="4">
        <v>3</v>
      </c>
      <c r="AE187" s="4">
        <v>733</v>
      </c>
      <c r="AF187" s="7">
        <f t="shared" si="17"/>
        <v>669.80650000000003</v>
      </c>
      <c r="AG187" s="7">
        <f t="shared" si="15"/>
        <v>109.43459043768611</v>
      </c>
      <c r="AI187" s="7">
        <f t="shared" si="18"/>
        <v>629.6339999999999</v>
      </c>
      <c r="AK187" s="4">
        <f t="shared" si="16"/>
        <v>106.38029394854792</v>
      </c>
    </row>
    <row r="188" spans="1:37" x14ac:dyDescent="0.2">
      <c r="A188" s="4" t="s">
        <v>299</v>
      </c>
      <c r="B188" s="4">
        <v>1</v>
      </c>
      <c r="C188" s="4">
        <v>172</v>
      </c>
      <c r="D188" s="4">
        <v>33</v>
      </c>
      <c r="E188" s="4">
        <v>29.41</v>
      </c>
      <c r="F188" s="4">
        <v>88</v>
      </c>
      <c r="G188" s="4">
        <v>160</v>
      </c>
      <c r="H188" s="4">
        <v>97</v>
      </c>
      <c r="I188" s="4">
        <v>96</v>
      </c>
      <c r="J188" s="4">
        <v>2</v>
      </c>
      <c r="K188" s="4">
        <v>6</v>
      </c>
      <c r="L188" s="4">
        <v>7</v>
      </c>
      <c r="M188" s="4">
        <v>630</v>
      </c>
      <c r="O188" s="4">
        <v>87</v>
      </c>
      <c r="P188" s="4">
        <v>141</v>
      </c>
      <c r="Q188" s="4">
        <v>98</v>
      </c>
      <c r="R188" s="4">
        <v>98</v>
      </c>
      <c r="S188" s="4">
        <v>0</v>
      </c>
      <c r="T188" s="4">
        <v>5</v>
      </c>
      <c r="U188" s="4">
        <v>6</v>
      </c>
      <c r="V188" s="4">
        <v>660</v>
      </c>
      <c r="X188" s="4">
        <v>89</v>
      </c>
      <c r="Y188" s="4">
        <v>131</v>
      </c>
      <c r="Z188" s="4">
        <v>97</v>
      </c>
      <c r="AA188" s="4">
        <v>97</v>
      </c>
      <c r="AB188" s="4">
        <v>0</v>
      </c>
      <c r="AC188" s="4">
        <v>4</v>
      </c>
      <c r="AD188" s="4">
        <v>5</v>
      </c>
      <c r="AE188" s="4">
        <v>704</v>
      </c>
      <c r="AF188" s="7">
        <f t="shared" si="17"/>
        <v>632.04380000000015</v>
      </c>
      <c r="AG188" s="7">
        <f t="shared" si="15"/>
        <v>111.38468568159357</v>
      </c>
      <c r="AI188" s="7">
        <f t="shared" si="18"/>
        <v>700.21</v>
      </c>
      <c r="AK188" s="4">
        <f t="shared" si="16"/>
        <v>90.264891960983149</v>
      </c>
    </row>
    <row r="189" spans="1:37" x14ac:dyDescent="0.2">
      <c r="A189" s="4" t="s">
        <v>302</v>
      </c>
      <c r="B189" s="4">
        <v>0</v>
      </c>
      <c r="C189" s="4">
        <v>169</v>
      </c>
      <c r="D189" s="4">
        <v>31</v>
      </c>
      <c r="E189" s="4">
        <v>21.71</v>
      </c>
      <c r="F189" s="4">
        <v>62</v>
      </c>
      <c r="G189" s="4">
        <v>102</v>
      </c>
      <c r="H189" s="4">
        <v>97</v>
      </c>
      <c r="I189" s="4">
        <v>99</v>
      </c>
      <c r="J189" s="4">
        <v>0</v>
      </c>
      <c r="K189" s="4">
        <v>1</v>
      </c>
      <c r="L189" s="4">
        <v>2</v>
      </c>
      <c r="M189" s="4">
        <v>573</v>
      </c>
      <c r="O189" s="4">
        <v>105</v>
      </c>
      <c r="P189" s="4">
        <v>101</v>
      </c>
      <c r="Q189" s="4">
        <v>97</v>
      </c>
      <c r="R189" s="4">
        <v>97</v>
      </c>
      <c r="S189" s="4">
        <v>0</v>
      </c>
      <c r="T189" s="4">
        <v>2</v>
      </c>
      <c r="U189" s="4">
        <v>3</v>
      </c>
      <c r="V189" s="4">
        <v>633</v>
      </c>
      <c r="X189" s="4">
        <v>89</v>
      </c>
      <c r="Y189" s="4">
        <v>107</v>
      </c>
      <c r="Z189" s="4">
        <v>97</v>
      </c>
      <c r="AA189" s="4">
        <v>97</v>
      </c>
      <c r="AB189" s="4">
        <v>0</v>
      </c>
      <c r="AC189" s="4">
        <v>2</v>
      </c>
      <c r="AD189" s="4">
        <v>3</v>
      </c>
      <c r="AE189" s="4">
        <v>690</v>
      </c>
      <c r="AF189" s="7">
        <f t="shared" si="17"/>
        <v>628.47680000000003</v>
      </c>
      <c r="AG189" s="7">
        <f t="shared" si="15"/>
        <v>109.78925554610765</v>
      </c>
      <c r="AI189" s="7">
        <f t="shared" si="18"/>
        <v>630.29600000000005</v>
      </c>
      <c r="AK189" s="4">
        <f t="shared" si="16"/>
        <v>99.711373703783607</v>
      </c>
    </row>
    <row r="190" spans="1:37" x14ac:dyDescent="0.2">
      <c r="A190" s="4" t="s">
        <v>303</v>
      </c>
      <c r="B190" s="4">
        <v>0</v>
      </c>
      <c r="C190" s="4">
        <v>164</v>
      </c>
      <c r="D190" s="4">
        <v>25</v>
      </c>
      <c r="E190" s="4">
        <v>20.079999999999998</v>
      </c>
      <c r="F190" s="4">
        <v>127</v>
      </c>
      <c r="G190" s="4">
        <v>170</v>
      </c>
      <c r="H190" s="4">
        <v>99</v>
      </c>
      <c r="I190" s="4">
        <v>98</v>
      </c>
      <c r="J190" s="4">
        <v>0</v>
      </c>
      <c r="K190" s="4">
        <v>1</v>
      </c>
      <c r="L190" s="4">
        <v>1</v>
      </c>
      <c r="M190" s="4">
        <v>660</v>
      </c>
      <c r="O190" s="4">
        <v>91</v>
      </c>
      <c r="P190" s="4">
        <v>144</v>
      </c>
      <c r="Q190" s="4">
        <v>98</v>
      </c>
      <c r="R190" s="4">
        <v>98</v>
      </c>
      <c r="S190" s="4">
        <v>0</v>
      </c>
      <c r="T190" s="4">
        <v>2</v>
      </c>
      <c r="U190" s="4">
        <v>2</v>
      </c>
      <c r="V190" s="4">
        <v>700</v>
      </c>
      <c r="X190" s="4">
        <v>102</v>
      </c>
      <c r="Y190" s="4">
        <v>156</v>
      </c>
      <c r="Z190" s="4">
        <v>97</v>
      </c>
      <c r="AA190" s="4">
        <v>96</v>
      </c>
      <c r="AB190" s="4">
        <v>0</v>
      </c>
      <c r="AC190" s="4">
        <v>2</v>
      </c>
      <c r="AD190" s="4">
        <v>2</v>
      </c>
      <c r="AE190" s="4">
        <v>697</v>
      </c>
      <c r="AF190" s="7">
        <f t="shared" si="17"/>
        <v>661.48290000000009</v>
      </c>
      <c r="AG190" s="7">
        <f t="shared" si="15"/>
        <v>105.36931491350721</v>
      </c>
      <c r="AI190" s="7">
        <f t="shared" si="18"/>
        <v>689.47900000000004</v>
      </c>
      <c r="AK190" s="4">
        <f t="shared" si="16"/>
        <v>95.939528252492096</v>
      </c>
    </row>
    <row r="191" spans="1:37" x14ac:dyDescent="0.2">
      <c r="A191" s="4" t="s">
        <v>306</v>
      </c>
      <c r="B191" s="4">
        <v>0</v>
      </c>
      <c r="C191" s="4">
        <v>163</v>
      </c>
      <c r="D191" s="4">
        <v>30</v>
      </c>
      <c r="E191" s="4">
        <v>24.46</v>
      </c>
      <c r="F191" s="4">
        <v>80</v>
      </c>
      <c r="G191" s="4">
        <v>120</v>
      </c>
      <c r="H191" s="4">
        <v>98</v>
      </c>
      <c r="I191" s="4">
        <v>98</v>
      </c>
      <c r="J191" s="4">
        <v>0</v>
      </c>
      <c r="K191" s="4">
        <v>1</v>
      </c>
      <c r="L191" s="4">
        <v>2</v>
      </c>
      <c r="M191" s="4">
        <v>580</v>
      </c>
      <c r="O191" s="4">
        <v>70</v>
      </c>
      <c r="P191" s="4">
        <v>116</v>
      </c>
      <c r="Q191" s="4">
        <v>98</v>
      </c>
      <c r="R191" s="4">
        <v>98</v>
      </c>
      <c r="S191" s="4">
        <v>0</v>
      </c>
      <c r="T191" s="4">
        <v>1</v>
      </c>
      <c r="U191" s="4">
        <v>2</v>
      </c>
      <c r="V191" s="4">
        <v>650</v>
      </c>
      <c r="X191" s="4">
        <v>73</v>
      </c>
      <c r="Y191" s="4">
        <v>100</v>
      </c>
      <c r="Z191" s="4">
        <v>95</v>
      </c>
      <c r="AA191" s="4">
        <v>98</v>
      </c>
      <c r="AB191" s="4">
        <v>0</v>
      </c>
      <c r="AC191" s="4">
        <v>1</v>
      </c>
      <c r="AD191" s="4">
        <v>2</v>
      </c>
      <c r="AE191" s="4">
        <v>581</v>
      </c>
      <c r="AF191" s="7">
        <f t="shared" si="17"/>
        <v>619.08979999999997</v>
      </c>
      <c r="AG191" s="7">
        <f t="shared" si="15"/>
        <v>93.847451532879404</v>
      </c>
      <c r="AI191" s="7">
        <f t="shared" ref="AI191:AI192" si="19" xml:space="preserve"> 356.658-(2.303*D191)+(36.648*B191)+(1.704*C191)+(1.365*Y191-X191)</f>
        <v>628.81999999999994</v>
      </c>
      <c r="AK191" s="4">
        <f t="shared" si="16"/>
        <v>98.452625552622379</v>
      </c>
    </row>
    <row r="192" spans="1:37" x14ac:dyDescent="0.2">
      <c r="A192" s="4" t="s">
        <v>307</v>
      </c>
      <c r="B192" s="4">
        <v>0</v>
      </c>
      <c r="C192" s="4">
        <v>164</v>
      </c>
      <c r="D192" s="4">
        <v>25</v>
      </c>
      <c r="E192" s="4">
        <v>21.94</v>
      </c>
      <c r="F192" s="4">
        <v>65</v>
      </c>
      <c r="G192" s="4">
        <v>86</v>
      </c>
      <c r="H192" s="4">
        <v>96</v>
      </c>
      <c r="I192" s="4">
        <v>96</v>
      </c>
      <c r="J192" s="4">
        <v>0</v>
      </c>
      <c r="K192" s="4">
        <v>1</v>
      </c>
      <c r="L192" s="4">
        <v>2</v>
      </c>
      <c r="M192" s="4">
        <v>620</v>
      </c>
      <c r="O192" s="4">
        <v>67</v>
      </c>
      <c r="P192" s="4">
        <v>98</v>
      </c>
      <c r="Q192" s="4">
        <v>99</v>
      </c>
      <c r="R192" s="4">
        <v>98</v>
      </c>
      <c r="S192" s="4">
        <v>0</v>
      </c>
      <c r="T192" s="4">
        <v>1</v>
      </c>
      <c r="U192" s="4">
        <v>2</v>
      </c>
      <c r="V192" s="4">
        <v>654</v>
      </c>
      <c r="X192" s="4">
        <v>80</v>
      </c>
      <c r="Y192" s="4">
        <v>88</v>
      </c>
      <c r="Z192" s="4">
        <v>98</v>
      </c>
      <c r="AA192" s="4">
        <v>98</v>
      </c>
      <c r="AB192" s="4">
        <v>0</v>
      </c>
      <c r="AC192" s="4">
        <v>1</v>
      </c>
      <c r="AD192" s="4">
        <v>3</v>
      </c>
      <c r="AE192" s="4">
        <v>660</v>
      </c>
      <c r="AF192" s="7">
        <f t="shared" si="17"/>
        <v>652.42470000000003</v>
      </c>
      <c r="AG192" s="7">
        <f t="shared" si="15"/>
        <v>101.1610995107941</v>
      </c>
      <c r="AI192" s="7">
        <f t="shared" si="19"/>
        <v>618.65899999999999</v>
      </c>
      <c r="AK192" s="4">
        <f t="shared" si="16"/>
        <v>105.45788552336586</v>
      </c>
    </row>
    <row r="194" spans="3:34" x14ac:dyDescent="0.2"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H194" s="7"/>
    </row>
    <row r="195" spans="3:34" x14ac:dyDescent="0.2"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H195" s="7"/>
    </row>
    <row r="196" spans="3:34" x14ac:dyDescent="0.2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H196" s="7"/>
    </row>
    <row r="197" spans="3:34" x14ac:dyDescent="0.2"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H197" s="7"/>
    </row>
    <row r="198" spans="3:34" x14ac:dyDescent="0.2"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H198" s="7"/>
    </row>
  </sheetData>
  <mergeCells count="3">
    <mergeCell ref="H1:I1"/>
    <mergeCell ref="Q1:R1"/>
    <mergeCell ref="Z1:AA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Plan2</vt:lpstr>
      <vt:lpstr>Plan3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Arthur De Sá Ferreira</cp:lastModifiedBy>
  <dcterms:created xsi:type="dcterms:W3CDTF">2016-05-09T20:55:54Z</dcterms:created>
  <dcterms:modified xsi:type="dcterms:W3CDTF">2025-12-25T20:47:51Z</dcterms:modified>
</cp:coreProperties>
</file>