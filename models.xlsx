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rthurferreira/Google Drive - arthurde/LSCMR/6MWT/"/>
    </mc:Choice>
  </mc:AlternateContent>
  <xr:revisionPtr revIDLastSave="0" documentId="13_ncr:1_{4B507BC6-C879-544E-A3CC-D26903A2F018}" xr6:coauthVersionLast="47" xr6:coauthVersionMax="47" xr10:uidLastSave="{00000000-0000-0000-0000-000000000000}"/>
  <bookViews>
    <workbookView xWindow="880" yWindow="660" windowWidth="29360" windowHeight="1898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70A3GJbISMUyRvM8XHbLQqy2s2TfUFmfDDxcEKZl/8="/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<sst xmlns="http://schemas.openxmlformats.org/spreadsheetml/2006/main" count="300" uniqueCount="123">
  <si>
    <t>Poh et. al 2006</t>
  </si>
  <si>
    <t>Alameri et al. 2009</t>
  </si>
  <si>
    <t>Soares, Pereira 2011</t>
  </si>
  <si>
    <t>Year</t>
  </si>
  <si>
    <t>DOI</t>
  </si>
  <si>
    <t>10.1164/ajrccm.158.5.9710086</t>
  </si>
  <si>
    <t>10.1034/j.1399-3003.1999.14b06.x</t>
  </si>
  <si>
    <t>10.1097/00008483-200103000-00005</t>
  </si>
  <si>
    <t>10.1378/chest.123.2.387</t>
  </si>
  <si>
    <t>10.1016/j.rmed.2005.08.003</t>
  </si>
  <si>
    <t>10.1111/j.1440-1843.2006.00820.x</t>
  </si>
  <si>
    <t>10.1016/j.rmed.2006.01.001</t>
  </si>
  <si>
    <t>10.1590/S0100-879X2009005000032</t>
  </si>
  <si>
    <t>10.3109/09593980802664711</t>
  </si>
  <si>
    <t>10.1016/j.rmed.2009.01.012</t>
  </si>
  <si>
    <t>10.1016/j.rmed.2008.07.023</t>
  </si>
  <si>
    <t>10.4067/S0034-98872010000900006</t>
  </si>
  <si>
    <t xml:space="preserve">10.1590/S1806-37132011000500003 </t>
  </si>
  <si>
    <t>10.1590/s1806-37132011000500007</t>
  </si>
  <si>
    <t>10.1183/09031936.00194909</t>
  </si>
  <si>
    <t>10.1139/h11-075</t>
  </si>
  <si>
    <t>10.1590/S1413-35552012005000122</t>
  </si>
  <si>
    <t>10.2013/JCPSP.720725</t>
  </si>
  <si>
    <t>10.4046/trd.2014.76.6.269</t>
  </si>
  <si>
    <t>10.7860/JCDR/2016/17643.7714</t>
  </si>
  <si>
    <t>10.1371/journal.pone.0184669</t>
  </si>
  <si>
    <t>10.1016/j.pulmoe.2018.04.003</t>
  </si>
  <si>
    <t>10.23736/S1973-9087.19.05687-9</t>
  </si>
  <si>
    <t>10.1142/S1013702522500111</t>
  </si>
  <si>
    <t>10.1016/j.pulmoe.2023.02.014</t>
  </si>
  <si>
    <t>Link</t>
  </si>
  <si>
    <t>https://pubmed.ncbi.nlm.nih.gov/19472695</t>
  </si>
  <si>
    <t>https://pubmed.ncbi.nlm.nih.gov/24112258/</t>
  </si>
  <si>
    <t>https://pubmed.ncbi.nlm.nih.gov/25053680</t>
  </si>
  <si>
    <t>Sample size</t>
  </si>
  <si>
    <t>Country</t>
  </si>
  <si>
    <t>EUA</t>
  </si>
  <si>
    <t>Belgica</t>
  </si>
  <si>
    <t>Canadá</t>
  </si>
  <si>
    <t>Austrália</t>
  </si>
  <si>
    <t>Cingapura</t>
  </si>
  <si>
    <t>Italia</t>
  </si>
  <si>
    <t>China</t>
  </si>
  <si>
    <t>Tunisia</t>
  </si>
  <si>
    <t>Brasil</t>
  </si>
  <si>
    <t>Australia</t>
  </si>
  <si>
    <t>Arabia Saudita</t>
  </si>
  <si>
    <t>Chile</t>
  </si>
  <si>
    <t>Brasil, Chile, Colombia, Espanha, Uruguai, EUA, Venezuela</t>
  </si>
  <si>
    <t>Canada</t>
  </si>
  <si>
    <t>Paquistão</t>
  </si>
  <si>
    <t>Coreia do Sul</t>
  </si>
  <si>
    <t>Indonésia</t>
  </si>
  <si>
    <t>India</t>
  </si>
  <si>
    <t>Portugal</t>
  </si>
  <si>
    <t>Singapura</t>
  </si>
  <si>
    <t>Intercept</t>
  </si>
  <si>
    <t>Sex</t>
  </si>
  <si>
    <t>Borg</t>
  </si>
  <si>
    <t>IPAQ</t>
  </si>
  <si>
    <t>Unit</t>
  </si>
  <si>
    <t>m</t>
  </si>
  <si>
    <t>cm</t>
  </si>
  <si>
    <t>year</t>
  </si>
  <si>
    <t>kg</t>
  </si>
  <si>
    <t>%</t>
  </si>
  <si>
    <t>k/m²</t>
  </si>
  <si>
    <t>Variable</t>
  </si>
  <si>
    <t>Variable (PT)</t>
  </si>
  <si>
    <t>Height</t>
  </si>
  <si>
    <t>Altura</t>
  </si>
  <si>
    <t>Age</t>
  </si>
  <si>
    <t>Idade</t>
  </si>
  <si>
    <t>Weight</t>
  </si>
  <si>
    <t>Peso</t>
  </si>
  <si>
    <t>Sexo</t>
  </si>
  <si>
    <t>PredHRmax</t>
  </si>
  <si>
    <t>PredFCmax</t>
  </si>
  <si>
    <t>HR</t>
  </si>
  <si>
    <t>FC</t>
  </si>
  <si>
    <t>∆</t>
  </si>
  <si>
    <t>bpm</t>
  </si>
  <si>
    <t>FEV¹</t>
  </si>
  <si>
    <t>VEF¹</t>
  </si>
  <si>
    <t>Corredor</t>
  </si>
  <si>
    <t>BMI</t>
  </si>
  <si>
    <t>IMC</t>
  </si>
  <si>
    <t>Corridor</t>
  </si>
  <si>
    <t>Sex scope</t>
  </si>
  <si>
    <t>male</t>
  </si>
  <si>
    <t>female</t>
  </si>
  <si>
    <t>both</t>
  </si>
  <si>
    <t>Troosters, Gosselink &amp; Decramer 1999</t>
  </si>
  <si>
    <t>Osses et al. 2010</t>
  </si>
  <si>
    <t>Dourado, Vidotto, Guerra 2011</t>
  </si>
  <si>
    <t>Rao et al. 2013</t>
  </si>
  <si>
    <t>Nusdwinuringtyas et al, 2014</t>
  </si>
  <si>
    <t>Yeung et al. 2022</t>
  </si>
  <si>
    <t>Enright &amp; Sherrill 1998</t>
  </si>
  <si>
    <t>Gibbons et al. 2001</t>
  </si>
  <si>
    <t>Enrigth et al. 2003</t>
  </si>
  <si>
    <t>Camarri et al. 2006</t>
  </si>
  <si>
    <t>Chetta et al. 2006</t>
  </si>
  <si>
    <t>Masmoudi et al. 2008</t>
  </si>
  <si>
    <t>Iwama et al. 2009</t>
  </si>
  <si>
    <t>Jenkins et al. 2009</t>
  </si>
  <si>
    <t>Ben Saad et al. 2009</t>
  </si>
  <si>
    <t>Casanova et al. 2010</t>
  </si>
  <si>
    <t>Hill et al. 2011</t>
  </si>
  <si>
    <t>Britto et al. 2013</t>
  </si>
  <si>
    <t>Kim et al. 2014</t>
  </si>
  <si>
    <t>Fernandes et al. 2016</t>
  </si>
  <si>
    <t>Zou et al. 2017</t>
  </si>
  <si>
    <t>Oliveira et al. 2019</t>
  </si>
  <si>
    <t>Almeida et al. 2019</t>
  </si>
  <si>
    <t>Delbressine et al. 2023</t>
  </si>
  <si>
    <t>Exponent</t>
  </si>
  <si>
    <t>Intercepto</t>
  </si>
  <si>
    <t>L</t>
  </si>
  <si>
    <t>Sex code female</t>
  </si>
  <si>
    <t>∆HR</t>
  </si>
  <si>
    <t>∆FC</t>
  </si>
  <si>
    <t>Corridor lenght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</si>
</sst>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0.000"/>
  </numFmts>
  <fonts count="5" x14ac:knownFonts="1">
    <font>
      <sz val="12"/>
      <color theme="1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7"/>
  <sheetViews>
    <sheetView tabSelected="1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8" sqref="A8"/>
    </sheetView>
  </sheetViews>
  <sheetFormatPr baseColWidth="10" defaultColWidth="11.1640625" defaultRowHeight="15" customHeight="1" x14ac:dyDescent="0.2"/>
  <cols>
    <col min="1" max="2" width="15.5" style="6" bestFit="1" customWidth="1"/>
    <col min="3" max="3" width="5.1640625" style="6" bestFit="1" customWidth="1"/>
    <col min="4" max="4" width="9.83203125" style="7" bestFit="1" customWidth="1"/>
    <col min="5" max="5" width="29" style="6" bestFit="1" customWidth="1"/>
    <col min="6" max="6" width="26.1640625" style="6" bestFit="1" customWidth="1"/>
    <col min="7" max="8" width="36.83203125" style="6" bestFit="1" customWidth="1"/>
    <col min="9" max="10" width="35.6640625" style="6" bestFit="1" customWidth="1"/>
    <col min="11" max="12" width="23" style="6" bestFit="1" customWidth="1"/>
    <col min="13" max="13" width="24" style="6" bestFit="1" customWidth="1"/>
    <col min="14" max="15" width="26.6640625" style="6" bestFit="1" customWidth="1"/>
    <col min="16" max="16" width="33.1640625" style="6" bestFit="1" customWidth="1"/>
    <col min="17" max="18" width="26.6640625" style="6" bestFit="1" customWidth="1"/>
    <col min="19" max="20" width="39.6640625" style="6" bestFit="1" customWidth="1"/>
    <col min="21" max="22" width="35.33203125" style="6" bestFit="1" customWidth="1"/>
    <col min="23" max="30" width="28.33203125" style="6" bestFit="1" customWidth="1"/>
    <col min="31" max="33" width="26.6640625" style="6" bestFit="1" customWidth="1"/>
    <col min="34" max="35" width="34.83203125" style="6" bestFit="1" customWidth="1"/>
    <col min="36" max="36" width="35.5" style="6" bestFit="1" customWidth="1"/>
    <col min="37" max="38" width="34.5" style="6" bestFit="1" customWidth="1"/>
    <col min="39" max="40" width="54.1640625" style="6" bestFit="1" customWidth="1"/>
    <col min="41" max="42" width="16.5" style="6" bestFit="1" customWidth="1"/>
    <col min="43" max="46" width="34.83203125" style="6" bestFit="1" customWidth="1"/>
    <col min="47" max="48" width="40.1640625" style="6" bestFit="1" customWidth="1"/>
    <col min="49" max="49" width="25.1640625" style="6" bestFit="1" customWidth="1"/>
    <col min="50" max="51" width="39.6640625" style="6" bestFit="1" customWidth="1"/>
    <col min="52" max="53" width="30.5" style="6" bestFit="1" customWidth="1"/>
    <col min="54" max="57" width="28.6640625" style="6" bestFit="1" customWidth="1"/>
    <col min="58" max="59" width="32.1640625" style="6" bestFit="1" customWidth="1"/>
    <col min="60" max="61" width="28.33203125" style="6" bestFit="1" customWidth="1"/>
    <col min="62" max="63" width="28.6640625" style="6" bestFit="1" customWidth="1"/>
    <col min="64" max="71" width="10.6640625" style="6" customWidth="1"/>
    <col min="72" max="76" width="11.1640625" style="6" customWidth="1"/>
    <col min="77" max="16384" width="11.1640625" style="6"/>
  </cols>
  <sheetData>
    <row r="1" spans="1:76" s="2" customFormat="1" ht="15.75" customHeight="1" x14ac:dyDescent="0.2">
      <c r="A1" s="1" t="s">
        <v>67</v>
      </c>
      <c r="B1" s="2" t="s">
        <v>68</v>
      </c>
      <c r="C1" s="2" t="s">
        <v>60</v>
      </c>
      <c r="D1" s="3" t="s">
        <v>116</v>
      </c>
      <c r="E1" s="1" t="s">
        <v>98</v>
      </c>
      <c r="F1" s="1" t="s">
        <v>98</v>
      </c>
      <c r="G1" s="1" t="s">
        <v>92</v>
      </c>
      <c r="H1" s="1" t="s">
        <v>92</v>
      </c>
      <c r="I1" s="1" t="s">
        <v>99</v>
      </c>
      <c r="J1" s="1" t="s">
        <v>99</v>
      </c>
      <c r="K1" s="1" t="s">
        <v>100</v>
      </c>
      <c r="L1" s="1" t="s">
        <v>100</v>
      </c>
      <c r="M1" s="1" t="s">
        <v>101</v>
      </c>
      <c r="N1" s="1" t="s">
        <v>101</v>
      </c>
      <c r="O1" s="1" t="s">
        <v>101</v>
      </c>
      <c r="P1" s="1" t="s">
        <v>0</v>
      </c>
      <c r="Q1" s="1" t="s">
        <v>102</v>
      </c>
      <c r="R1" s="1" t="s">
        <v>102</v>
      </c>
      <c r="S1" s="1" t="s">
        <v>103</v>
      </c>
      <c r="T1" s="1" t="s">
        <v>103</v>
      </c>
      <c r="U1" s="1" t="s">
        <v>104</v>
      </c>
      <c r="V1" s="1" t="s">
        <v>104</v>
      </c>
      <c r="W1" s="1" t="s">
        <v>105</v>
      </c>
      <c r="X1" s="1" t="s">
        <v>105</v>
      </c>
      <c r="Y1" s="1" t="s">
        <v>105</v>
      </c>
      <c r="Z1" s="1" t="s">
        <v>105</v>
      </c>
      <c r="AA1" s="1" t="s">
        <v>105</v>
      </c>
      <c r="AB1" s="1" t="s">
        <v>105</v>
      </c>
      <c r="AC1" s="1" t="s">
        <v>105</v>
      </c>
      <c r="AD1" s="1" t="s">
        <v>105</v>
      </c>
      <c r="AE1" s="1" t="s">
        <v>1</v>
      </c>
      <c r="AF1" s="1" t="s">
        <v>106</v>
      </c>
      <c r="AG1" s="1" t="s">
        <v>106</v>
      </c>
      <c r="AH1" s="1" t="s">
        <v>93</v>
      </c>
      <c r="AI1" s="1" t="s">
        <v>93</v>
      </c>
      <c r="AJ1" s="1" t="s">
        <v>2</v>
      </c>
      <c r="AK1" s="1" t="s">
        <v>94</v>
      </c>
      <c r="AL1" s="1" t="s">
        <v>94</v>
      </c>
      <c r="AM1" s="1" t="s">
        <v>107</v>
      </c>
      <c r="AN1" s="1" t="s">
        <v>107</v>
      </c>
      <c r="AO1" s="1" t="s">
        <v>108</v>
      </c>
      <c r="AP1" s="1" t="s">
        <v>108</v>
      </c>
      <c r="AQ1" s="1" t="s">
        <v>109</v>
      </c>
      <c r="AR1" s="1" t="s">
        <v>109</v>
      </c>
      <c r="AS1" s="1" t="s">
        <v>109</v>
      </c>
      <c r="AT1" s="1" t="s">
        <v>109</v>
      </c>
      <c r="AU1" s="1" t="s">
        <v>95</v>
      </c>
      <c r="AV1" s="1" t="s">
        <v>95</v>
      </c>
      <c r="AW1" s="1" t="s">
        <v>110</v>
      </c>
      <c r="AX1" s="1" t="s">
        <v>96</v>
      </c>
      <c r="AY1" s="1" t="s">
        <v>96</v>
      </c>
      <c r="AZ1" s="1" t="s">
        <v>111</v>
      </c>
      <c r="BA1" s="1" t="s">
        <v>111</v>
      </c>
      <c r="BB1" s="1" t="s">
        <v>112</v>
      </c>
      <c r="BC1" s="1" t="s">
        <v>112</v>
      </c>
      <c r="BD1" s="1" t="s">
        <v>113</v>
      </c>
      <c r="BE1" s="1" t="s">
        <v>113</v>
      </c>
      <c r="BF1" s="1" t="s">
        <v>114</v>
      </c>
      <c r="BG1" s="1" t="s">
        <v>114</v>
      </c>
      <c r="BH1" s="1" t="s">
        <v>97</v>
      </c>
      <c r="BI1" s="1" t="s">
        <v>97</v>
      </c>
      <c r="BJ1" s="1" t="s">
        <v>115</v>
      </c>
      <c r="BK1" s="1" t="s">
        <v>115</v>
      </c>
      <c r="BL1" s="1"/>
      <c r="BM1" s="1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</row>
    <row r="2" spans="1:76" s="7" customFormat="1" ht="15.75" customHeight="1" x14ac:dyDescent="0.2">
      <c r="A2" s="5" t="s">
        <v>3</v>
      </c>
      <c r="B2" s="6"/>
      <c r="C2" s="6"/>
      <c r="E2" s="7">
        <v>1998</v>
      </c>
      <c r="F2" s="7">
        <v>1998</v>
      </c>
      <c r="G2" s="7">
        <v>1999</v>
      </c>
      <c r="H2" s="7">
        <v>1999</v>
      </c>
      <c r="I2" s="7">
        <v>2001</v>
      </c>
      <c r="J2" s="7">
        <v>2001</v>
      </c>
      <c r="K2" s="7">
        <v>2003</v>
      </c>
      <c r="L2" s="7">
        <v>2003</v>
      </c>
      <c r="M2" s="7">
        <v>2006</v>
      </c>
      <c r="N2" s="7">
        <v>2006</v>
      </c>
      <c r="O2" s="7">
        <v>2006</v>
      </c>
      <c r="P2" s="7">
        <v>2006</v>
      </c>
      <c r="Q2" s="7">
        <v>2006</v>
      </c>
      <c r="R2" s="7">
        <v>2006</v>
      </c>
      <c r="S2" s="7">
        <v>2008</v>
      </c>
      <c r="T2" s="7">
        <v>2008</v>
      </c>
      <c r="U2" s="7">
        <v>2009</v>
      </c>
      <c r="V2" s="7">
        <v>2009</v>
      </c>
      <c r="W2" s="7">
        <v>2009</v>
      </c>
      <c r="X2" s="7">
        <v>2009</v>
      </c>
      <c r="Y2" s="7">
        <v>2009</v>
      </c>
      <c r="Z2" s="7">
        <v>2009</v>
      </c>
      <c r="AA2" s="7">
        <v>2009</v>
      </c>
      <c r="AB2" s="7">
        <v>2009</v>
      </c>
      <c r="AC2" s="7">
        <v>2009</v>
      </c>
      <c r="AD2" s="7">
        <v>2009</v>
      </c>
      <c r="AE2" s="7">
        <v>2009</v>
      </c>
      <c r="AF2" s="7">
        <v>2009</v>
      </c>
      <c r="AG2" s="7">
        <v>2009</v>
      </c>
      <c r="AH2" s="7">
        <v>2010</v>
      </c>
      <c r="AI2" s="7">
        <v>2010</v>
      </c>
      <c r="AJ2" s="7">
        <v>2011</v>
      </c>
      <c r="AK2" s="7">
        <v>2011</v>
      </c>
      <c r="AL2" s="7">
        <v>2011</v>
      </c>
      <c r="AM2" s="7">
        <v>2010</v>
      </c>
      <c r="AN2" s="7">
        <v>2010</v>
      </c>
      <c r="AO2" s="7">
        <v>2011</v>
      </c>
      <c r="AP2" s="7">
        <v>2011</v>
      </c>
      <c r="AQ2" s="7">
        <v>2013</v>
      </c>
      <c r="AR2" s="7">
        <v>2013</v>
      </c>
      <c r="AS2" s="7">
        <v>2013</v>
      </c>
      <c r="AT2" s="7">
        <v>2013</v>
      </c>
      <c r="AU2" s="7">
        <v>2013</v>
      </c>
      <c r="AV2" s="7">
        <v>2013</v>
      </c>
      <c r="AW2" s="7">
        <v>2014</v>
      </c>
      <c r="AX2" s="7">
        <v>2014</v>
      </c>
      <c r="AY2" s="7">
        <v>2014</v>
      </c>
      <c r="AZ2" s="7">
        <v>2016</v>
      </c>
      <c r="BA2" s="7">
        <v>2016</v>
      </c>
      <c r="BB2" s="7">
        <v>2017</v>
      </c>
      <c r="BC2" s="7">
        <v>2017</v>
      </c>
      <c r="BD2" s="7">
        <v>2019</v>
      </c>
      <c r="BE2" s="7">
        <v>2019</v>
      </c>
      <c r="BF2" s="7">
        <v>2019</v>
      </c>
      <c r="BG2" s="7">
        <v>2019</v>
      </c>
      <c r="BH2" s="7">
        <v>2022</v>
      </c>
      <c r="BI2" s="7">
        <v>2022</v>
      </c>
      <c r="BJ2" s="7">
        <v>2023</v>
      </c>
      <c r="BK2" s="7">
        <v>2023</v>
      </c>
    </row>
    <row r="3" spans="1:76" ht="15.75" customHeight="1" x14ac:dyDescent="0.2">
      <c r="A3" s="8" t="s">
        <v>4</v>
      </c>
      <c r="E3" s="9" t="s">
        <v>5</v>
      </c>
      <c r="F3" s="10" t="s">
        <v>5</v>
      </c>
      <c r="G3" s="9" t="s">
        <v>6</v>
      </c>
      <c r="H3" s="9" t="s">
        <v>6</v>
      </c>
      <c r="I3" s="9" t="s">
        <v>7</v>
      </c>
      <c r="J3" s="9" t="s">
        <v>7</v>
      </c>
      <c r="K3" s="9" t="s">
        <v>8</v>
      </c>
      <c r="L3" s="9" t="s">
        <v>8</v>
      </c>
      <c r="M3" s="10" t="s">
        <v>9</v>
      </c>
      <c r="N3" s="9" t="s">
        <v>9</v>
      </c>
      <c r="O3" s="9" t="s">
        <v>9</v>
      </c>
      <c r="P3" s="9" t="s">
        <v>10</v>
      </c>
      <c r="Q3" s="9" t="s">
        <v>11</v>
      </c>
      <c r="R3" s="9" t="s">
        <v>11</v>
      </c>
      <c r="S3" s="9"/>
      <c r="T3" s="9"/>
      <c r="U3" s="9" t="s">
        <v>12</v>
      </c>
      <c r="V3" s="9" t="s">
        <v>12</v>
      </c>
      <c r="W3" s="9" t="s">
        <v>13</v>
      </c>
      <c r="X3" s="9" t="s">
        <v>13</v>
      </c>
      <c r="Y3" s="9" t="s">
        <v>13</v>
      </c>
      <c r="Z3" s="9" t="s">
        <v>13</v>
      </c>
      <c r="AA3" s="9" t="s">
        <v>13</v>
      </c>
      <c r="AB3" s="9" t="s">
        <v>13</v>
      </c>
      <c r="AC3" s="9" t="s">
        <v>13</v>
      </c>
      <c r="AD3" s="9" t="s">
        <v>13</v>
      </c>
      <c r="AE3" s="9" t="s">
        <v>14</v>
      </c>
      <c r="AF3" s="9" t="s">
        <v>15</v>
      </c>
      <c r="AG3" s="9" t="s">
        <v>15</v>
      </c>
      <c r="AH3" s="9" t="s">
        <v>16</v>
      </c>
      <c r="AI3" s="9" t="s">
        <v>16</v>
      </c>
      <c r="AJ3" s="11" t="s">
        <v>17</v>
      </c>
      <c r="AK3" s="11" t="s">
        <v>18</v>
      </c>
      <c r="AL3" s="11" t="s">
        <v>18</v>
      </c>
      <c r="AM3" s="11" t="s">
        <v>19</v>
      </c>
      <c r="AN3" s="11" t="s">
        <v>19</v>
      </c>
      <c r="AO3" s="11" t="s">
        <v>20</v>
      </c>
      <c r="AP3" s="11" t="s">
        <v>20</v>
      </c>
      <c r="AQ3" s="11" t="s">
        <v>21</v>
      </c>
      <c r="AR3" s="11" t="s">
        <v>21</v>
      </c>
      <c r="AS3" s="11" t="s">
        <v>21</v>
      </c>
      <c r="AT3" s="11" t="s">
        <v>21</v>
      </c>
      <c r="AU3" s="11" t="s">
        <v>22</v>
      </c>
      <c r="AV3" s="11" t="s">
        <v>22</v>
      </c>
      <c r="AW3" s="11" t="s">
        <v>23</v>
      </c>
      <c r="AX3" s="11"/>
      <c r="AY3" s="11"/>
      <c r="AZ3" s="11" t="s">
        <v>24</v>
      </c>
      <c r="BA3" s="11" t="s">
        <v>24</v>
      </c>
      <c r="BB3" s="11" t="s">
        <v>25</v>
      </c>
      <c r="BC3" s="11" t="s">
        <v>25</v>
      </c>
      <c r="BD3" s="11" t="s">
        <v>26</v>
      </c>
      <c r="BE3" s="11" t="s">
        <v>26</v>
      </c>
      <c r="BF3" s="11" t="s">
        <v>27</v>
      </c>
      <c r="BG3" s="11" t="s">
        <v>27</v>
      </c>
      <c r="BH3" s="11" t="s">
        <v>28</v>
      </c>
      <c r="BI3" s="11" t="s">
        <v>28</v>
      </c>
      <c r="BJ3" s="11" t="s">
        <v>29</v>
      </c>
      <c r="BK3" s="11" t="s">
        <v>29</v>
      </c>
      <c r="BL3" s="11"/>
      <c r="BM3" s="11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</row>
    <row r="4" spans="1:76" s="13" customFormat="1" ht="15.75" customHeight="1" x14ac:dyDescent="0.2">
      <c r="A4" s="1" t="s">
        <v>30</v>
      </c>
      <c r="D4" s="1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 t="s">
        <v>31</v>
      </c>
      <c r="T4" s="15" t="s">
        <v>31</v>
      </c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 t="s">
        <v>32</v>
      </c>
      <c r="AV4" s="15" t="s">
        <v>32</v>
      </c>
      <c r="AW4" s="15"/>
      <c r="AX4" s="15" t="s">
        <v>33</v>
      </c>
      <c r="AY4" s="15" t="s">
        <v>33</v>
      </c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</row>
    <row r="5" spans="1:76" s="18" customFormat="1" ht="15.75" customHeight="1" x14ac:dyDescent="0.2">
      <c r="A5" s="17" t="s">
        <v>34</v>
      </c>
      <c r="B5" s="6"/>
      <c r="C5" s="6"/>
      <c r="D5" s="7"/>
      <c r="E5" s="18">
        <v>117</v>
      </c>
      <c r="F5" s="18">
        <v>173</v>
      </c>
      <c r="G5" s="18">
        <v>29</v>
      </c>
      <c r="H5" s="18">
        <v>22</v>
      </c>
      <c r="I5" s="18">
        <v>41</v>
      </c>
      <c r="J5" s="18">
        <v>38</v>
      </c>
      <c r="K5" s="18">
        <v>437</v>
      </c>
      <c r="L5" s="18">
        <v>315</v>
      </c>
      <c r="M5" s="18">
        <v>70</v>
      </c>
      <c r="N5" s="18">
        <v>37</v>
      </c>
      <c r="O5" s="18">
        <v>33</v>
      </c>
      <c r="P5" s="18">
        <v>35</v>
      </c>
      <c r="Q5" s="18">
        <v>54</v>
      </c>
      <c r="R5" s="18">
        <v>48</v>
      </c>
      <c r="S5" s="18">
        <v>75</v>
      </c>
      <c r="T5" s="18">
        <v>80</v>
      </c>
      <c r="U5" s="18">
        <v>61</v>
      </c>
      <c r="V5" s="18">
        <v>73</v>
      </c>
      <c r="W5" s="18">
        <v>48</v>
      </c>
      <c r="X5" s="18">
        <v>61</v>
      </c>
      <c r="Y5" s="18">
        <v>48</v>
      </c>
      <c r="Z5" s="18">
        <v>61</v>
      </c>
      <c r="AA5" s="18">
        <v>48</v>
      </c>
      <c r="AB5" s="18">
        <v>61</v>
      </c>
      <c r="AC5" s="18">
        <v>48</v>
      </c>
      <c r="AD5" s="18">
        <v>61</v>
      </c>
      <c r="AE5" s="18">
        <v>298</v>
      </c>
      <c r="AF5" s="18">
        <v>125</v>
      </c>
      <c r="AG5" s="18">
        <v>104</v>
      </c>
      <c r="AH5" s="18">
        <v>98</v>
      </c>
      <c r="AI5" s="18">
        <v>77</v>
      </c>
      <c r="AJ5" s="18">
        <v>132</v>
      </c>
      <c r="AK5" s="18">
        <v>44</v>
      </c>
      <c r="AL5" s="18">
        <v>54</v>
      </c>
      <c r="AM5" s="18">
        <v>206</v>
      </c>
      <c r="AN5" s="18">
        <v>238</v>
      </c>
      <c r="AO5" s="18">
        <v>40</v>
      </c>
      <c r="AP5" s="18">
        <v>37</v>
      </c>
      <c r="AQ5" s="18">
        <v>296</v>
      </c>
      <c r="AR5" s="18">
        <v>321</v>
      </c>
      <c r="AS5" s="18">
        <v>296</v>
      </c>
      <c r="AT5" s="18">
        <v>321</v>
      </c>
      <c r="AU5" s="18">
        <v>85</v>
      </c>
      <c r="AV5" s="18">
        <v>211</v>
      </c>
      <c r="AW5" s="18">
        <v>259</v>
      </c>
      <c r="AX5" s="18">
        <v>58</v>
      </c>
      <c r="AY5" s="18">
        <v>65</v>
      </c>
      <c r="AZ5" s="18">
        <v>89</v>
      </c>
      <c r="BA5" s="18">
        <v>80</v>
      </c>
      <c r="BB5" s="18">
        <v>319</v>
      </c>
      <c r="BC5" s="18">
        <v>324</v>
      </c>
      <c r="BD5" s="18">
        <v>158</v>
      </c>
      <c r="BE5" s="18">
        <v>158</v>
      </c>
      <c r="BF5" s="18">
        <v>215</v>
      </c>
      <c r="BG5" s="18">
        <v>215</v>
      </c>
      <c r="BH5" s="18">
        <v>82</v>
      </c>
      <c r="BI5" s="18">
        <v>90</v>
      </c>
      <c r="BJ5" s="18">
        <v>163</v>
      </c>
      <c r="BK5" s="18">
        <v>172</v>
      </c>
    </row>
    <row r="6" spans="1:76" s="18" customFormat="1" ht="15.75" customHeight="1" x14ac:dyDescent="0.2">
      <c r="A6" s="17" t="s">
        <v>88</v>
      </c>
      <c r="B6" s="6"/>
      <c r="C6" s="6"/>
      <c r="D6" s="7"/>
      <c r="E6" s="18" t="s">
        <v>89</v>
      </c>
      <c r="F6" s="18" t="s">
        <v>90</v>
      </c>
      <c r="G6" s="18" t="s">
        <v>89</v>
      </c>
      <c r="H6" s="18" t="s">
        <v>90</v>
      </c>
      <c r="I6" s="18" t="s">
        <v>89</v>
      </c>
      <c r="J6" s="18" t="s">
        <v>90</v>
      </c>
      <c r="K6" s="18" t="s">
        <v>90</v>
      </c>
      <c r="L6" s="18" t="s">
        <v>89</v>
      </c>
      <c r="M6" s="18" t="s">
        <v>91</v>
      </c>
      <c r="N6" s="18" t="s">
        <v>90</v>
      </c>
      <c r="O6" s="18" t="s">
        <v>89</v>
      </c>
      <c r="P6" s="18" t="s">
        <v>91</v>
      </c>
      <c r="Q6" s="18" t="s">
        <v>90</v>
      </c>
      <c r="R6" s="18" t="s">
        <v>89</v>
      </c>
      <c r="S6" s="18" t="s">
        <v>90</v>
      </c>
      <c r="T6" s="18" t="s">
        <v>89</v>
      </c>
      <c r="U6" s="18" t="s">
        <v>89</v>
      </c>
      <c r="V6" s="18" t="s">
        <v>90</v>
      </c>
      <c r="W6" s="18" t="s">
        <v>89</v>
      </c>
      <c r="X6" s="18" t="s">
        <v>90</v>
      </c>
      <c r="Y6" s="18" t="s">
        <v>89</v>
      </c>
      <c r="Z6" s="18" t="s">
        <v>90</v>
      </c>
      <c r="AA6" s="18" t="s">
        <v>89</v>
      </c>
      <c r="AB6" s="18" t="s">
        <v>90</v>
      </c>
      <c r="AC6" s="18" t="s">
        <v>89</v>
      </c>
      <c r="AD6" s="18" t="s">
        <v>90</v>
      </c>
      <c r="AE6" s="18" t="s">
        <v>91</v>
      </c>
      <c r="AF6" s="18" t="s">
        <v>90</v>
      </c>
      <c r="AG6" s="18" t="s">
        <v>89</v>
      </c>
      <c r="AH6" s="18" t="s">
        <v>90</v>
      </c>
      <c r="AI6" s="18" t="s">
        <v>89</v>
      </c>
      <c r="AJ6" s="18" t="s">
        <v>91</v>
      </c>
      <c r="AK6" s="18" t="s">
        <v>89</v>
      </c>
      <c r="AL6" s="18" t="s">
        <v>90</v>
      </c>
      <c r="AM6" s="18" t="s">
        <v>90</v>
      </c>
      <c r="AN6" s="18" t="s">
        <v>89</v>
      </c>
      <c r="AO6" s="18" t="s">
        <v>90</v>
      </c>
      <c r="AP6" s="18" t="s">
        <v>89</v>
      </c>
      <c r="AQ6" s="18" t="s">
        <v>89</v>
      </c>
      <c r="AR6" s="18" t="s">
        <v>90</v>
      </c>
      <c r="AS6" s="18" t="s">
        <v>89</v>
      </c>
      <c r="AT6" s="18" t="s">
        <v>90</v>
      </c>
      <c r="AU6" s="18" t="s">
        <v>90</v>
      </c>
      <c r="AV6" s="18" t="s">
        <v>89</v>
      </c>
      <c r="AW6" s="18" t="s">
        <v>91</v>
      </c>
      <c r="AX6" s="18" t="s">
        <v>89</v>
      </c>
      <c r="AY6" s="18" t="s">
        <v>90</v>
      </c>
      <c r="AZ6" s="18" t="s">
        <v>90</v>
      </c>
      <c r="BA6" s="18" t="s">
        <v>89</v>
      </c>
      <c r="BB6" s="18" t="s">
        <v>90</v>
      </c>
      <c r="BC6" s="18" t="s">
        <v>89</v>
      </c>
      <c r="BF6" s="18" t="s">
        <v>91</v>
      </c>
      <c r="BG6" s="18" t="s">
        <v>91</v>
      </c>
      <c r="BH6" s="19" t="s">
        <v>89</v>
      </c>
      <c r="BI6" s="18" t="s">
        <v>90</v>
      </c>
      <c r="BJ6" s="18" t="s">
        <v>90</v>
      </c>
      <c r="BK6" s="19" t="s">
        <v>89</v>
      </c>
    </row>
    <row r="7" spans="1:76" s="18" customFormat="1" ht="15.75" customHeight="1" x14ac:dyDescent="0.2">
      <c r="A7" s="17" t="s">
        <v>119</v>
      </c>
      <c r="B7" s="17" t="s">
        <v>119</v>
      </c>
      <c r="C7" s="6"/>
      <c r="D7" s="7"/>
      <c r="G7" s="18">
        <v>1</v>
      </c>
      <c r="H7" s="18">
        <v>0</v>
      </c>
      <c r="J7" s="18">
        <v>1</v>
      </c>
      <c r="N7" s="18">
        <v>1</v>
      </c>
      <c r="Q7" s="18">
        <v>1</v>
      </c>
      <c r="R7" s="18">
        <v>0</v>
      </c>
      <c r="S7" s="18">
        <v>0</v>
      </c>
      <c r="T7" s="18">
        <v>1</v>
      </c>
      <c r="U7" s="18">
        <v>1</v>
      </c>
      <c r="V7" s="18">
        <v>0</v>
      </c>
      <c r="AF7" s="18">
        <v>1</v>
      </c>
      <c r="AG7" s="18">
        <v>0</v>
      </c>
      <c r="AK7" s="18">
        <v>1</v>
      </c>
      <c r="AL7" s="18">
        <v>0</v>
      </c>
      <c r="AM7" s="18">
        <v>1</v>
      </c>
      <c r="AN7" s="18">
        <v>0</v>
      </c>
      <c r="AO7" s="18">
        <v>0</v>
      </c>
      <c r="AP7" s="18">
        <v>1</v>
      </c>
      <c r="AQ7" s="18">
        <v>1</v>
      </c>
      <c r="AR7" s="18">
        <v>0</v>
      </c>
      <c r="AS7" s="18">
        <v>1</v>
      </c>
      <c r="AT7" s="18">
        <v>0</v>
      </c>
      <c r="AU7" s="18">
        <v>0</v>
      </c>
      <c r="AV7" s="18">
        <v>1</v>
      </c>
      <c r="AX7" s="18">
        <v>0</v>
      </c>
      <c r="AY7" s="18">
        <v>1</v>
      </c>
      <c r="AZ7" s="18">
        <v>0</v>
      </c>
      <c r="BA7" s="18">
        <v>1</v>
      </c>
      <c r="BD7" s="18">
        <v>0</v>
      </c>
      <c r="BE7" s="18">
        <v>0</v>
      </c>
      <c r="BF7" s="18">
        <v>0</v>
      </c>
      <c r="BG7" s="18">
        <v>0</v>
      </c>
      <c r="BH7" s="19">
        <v>1</v>
      </c>
      <c r="BI7" s="18">
        <v>0</v>
      </c>
      <c r="BK7" s="19"/>
    </row>
    <row r="8" spans="1:76" s="25" customFormat="1" ht="15.75" customHeight="1" x14ac:dyDescent="0.2">
      <c r="A8" s="22" t="s">
        <v>122</v>
      </c>
      <c r="B8" s="22"/>
      <c r="C8" s="23" t="s">
        <v>61</v>
      </c>
      <c r="D8" s="24">
        <v>1</v>
      </c>
      <c r="E8" s="25">
        <f>100*0.3048</f>
        <v>30.48</v>
      </c>
      <c r="BH8" s="26"/>
      <c r="BK8" s="26"/>
    </row>
    <row r="9" spans="1:76" s="13" customFormat="1" ht="15.75" customHeight="1" x14ac:dyDescent="0.2">
      <c r="A9" s="1" t="s">
        <v>35</v>
      </c>
      <c r="D9" s="14"/>
      <c r="E9" s="15" t="s">
        <v>36</v>
      </c>
      <c r="F9" s="15" t="s">
        <v>36</v>
      </c>
      <c r="G9" s="15" t="s">
        <v>37</v>
      </c>
      <c r="H9" s="15" t="s">
        <v>37</v>
      </c>
      <c r="I9" s="15" t="s">
        <v>38</v>
      </c>
      <c r="J9" s="15" t="s">
        <v>38</v>
      </c>
      <c r="K9" s="15" t="s">
        <v>36</v>
      </c>
      <c r="L9" s="15" t="s">
        <v>36</v>
      </c>
      <c r="M9" s="15" t="s">
        <v>39</v>
      </c>
      <c r="N9" s="15" t="s">
        <v>39</v>
      </c>
      <c r="O9" s="15" t="s">
        <v>39</v>
      </c>
      <c r="P9" s="15" t="s">
        <v>40</v>
      </c>
      <c r="Q9" s="15" t="s">
        <v>41</v>
      </c>
      <c r="R9" s="15" t="s">
        <v>41</v>
      </c>
      <c r="S9" s="15" t="s">
        <v>43</v>
      </c>
      <c r="T9" s="15" t="s">
        <v>43</v>
      </c>
      <c r="U9" s="15" t="s">
        <v>44</v>
      </c>
      <c r="V9" s="15" t="s">
        <v>44</v>
      </c>
      <c r="W9" s="15" t="s">
        <v>45</v>
      </c>
      <c r="X9" s="15" t="s">
        <v>45</v>
      </c>
      <c r="Y9" s="15" t="s">
        <v>45</v>
      </c>
      <c r="Z9" s="15" t="s">
        <v>45</v>
      </c>
      <c r="AA9" s="15" t="s">
        <v>45</v>
      </c>
      <c r="AB9" s="15" t="s">
        <v>45</v>
      </c>
      <c r="AC9" s="15" t="s">
        <v>45</v>
      </c>
      <c r="AD9" s="15" t="s">
        <v>45</v>
      </c>
      <c r="AE9" s="15" t="s">
        <v>46</v>
      </c>
      <c r="AF9" s="15" t="s">
        <v>43</v>
      </c>
      <c r="AG9" s="15" t="s">
        <v>43</v>
      </c>
      <c r="AH9" s="15" t="s">
        <v>47</v>
      </c>
      <c r="AI9" s="15" t="s">
        <v>47</v>
      </c>
      <c r="AJ9" s="15" t="s">
        <v>44</v>
      </c>
      <c r="AK9" s="15" t="s">
        <v>44</v>
      </c>
      <c r="AL9" s="15" t="s">
        <v>44</v>
      </c>
      <c r="AM9" s="15" t="s">
        <v>48</v>
      </c>
      <c r="AN9" s="15" t="s">
        <v>48</v>
      </c>
      <c r="AO9" s="15" t="s">
        <v>49</v>
      </c>
      <c r="AP9" s="15" t="s">
        <v>49</v>
      </c>
      <c r="AQ9" s="15" t="s">
        <v>44</v>
      </c>
      <c r="AR9" s="15" t="s">
        <v>44</v>
      </c>
      <c r="AS9" s="15" t="s">
        <v>44</v>
      </c>
      <c r="AT9" s="15" t="s">
        <v>44</v>
      </c>
      <c r="AU9" s="15" t="s">
        <v>50</v>
      </c>
      <c r="AV9" s="15" t="s">
        <v>50</v>
      </c>
      <c r="AW9" s="15" t="s">
        <v>51</v>
      </c>
      <c r="AX9" s="15" t="s">
        <v>52</v>
      </c>
      <c r="AY9" s="15" t="s">
        <v>52</v>
      </c>
      <c r="AZ9" s="15" t="s">
        <v>53</v>
      </c>
      <c r="BA9" s="15" t="s">
        <v>53</v>
      </c>
      <c r="BB9" s="15" t="s">
        <v>42</v>
      </c>
      <c r="BC9" s="15" t="s">
        <v>42</v>
      </c>
      <c r="BD9" s="15" t="s">
        <v>54</v>
      </c>
      <c r="BE9" s="15" t="s">
        <v>54</v>
      </c>
      <c r="BF9" s="15" t="s">
        <v>44</v>
      </c>
      <c r="BG9" s="15" t="s">
        <v>44</v>
      </c>
      <c r="BH9" s="15" t="s">
        <v>55</v>
      </c>
      <c r="BI9" s="15" t="s">
        <v>55</v>
      </c>
      <c r="BJ9" s="15" t="s">
        <v>49</v>
      </c>
      <c r="BK9" s="15" t="s">
        <v>49</v>
      </c>
      <c r="BL9" s="15"/>
      <c r="BM9" s="15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</row>
    <row r="10" spans="1:76" s="12" customFormat="1" ht="15.75" customHeight="1" x14ac:dyDescent="0.2">
      <c r="A10" s="20" t="s">
        <v>56</v>
      </c>
      <c r="B10" s="6" t="s">
        <v>117</v>
      </c>
      <c r="C10" s="6"/>
      <c r="D10" s="7">
        <v>1</v>
      </c>
      <c r="E10" s="12">
        <v>-309</v>
      </c>
      <c r="F10" s="12">
        <v>667</v>
      </c>
      <c r="G10" s="12">
        <v>218</v>
      </c>
      <c r="H10" s="12">
        <v>218</v>
      </c>
      <c r="I10" s="12">
        <v>868.8</v>
      </c>
      <c r="J10" s="12">
        <v>868.8</v>
      </c>
      <c r="K10" s="12">
        <v>493</v>
      </c>
      <c r="L10" s="12">
        <v>410</v>
      </c>
      <c r="M10" s="12">
        <v>64.69</v>
      </c>
      <c r="N10" s="12">
        <v>216.9</v>
      </c>
      <c r="O10" s="12">
        <v>216.9</v>
      </c>
      <c r="P10" s="12">
        <v>-473.27</v>
      </c>
      <c r="Q10" s="12">
        <v>518.85299999999995</v>
      </c>
      <c r="R10" s="12">
        <v>518.85299999999995</v>
      </c>
      <c r="S10" s="12">
        <v>299.8</v>
      </c>
      <c r="T10" s="12">
        <v>299.8</v>
      </c>
      <c r="U10" s="12">
        <v>622.46100000000001</v>
      </c>
      <c r="V10" s="12">
        <v>622.46100000000001</v>
      </c>
      <c r="W10" s="12">
        <v>1005</v>
      </c>
      <c r="X10" s="12">
        <v>602</v>
      </c>
      <c r="Y10" s="12">
        <v>849</v>
      </c>
      <c r="Z10" s="12">
        <v>594</v>
      </c>
      <c r="AA10" s="12">
        <v>748</v>
      </c>
      <c r="AB10" s="12">
        <v>541</v>
      </c>
      <c r="AC10" s="12">
        <v>867</v>
      </c>
      <c r="AD10" s="12">
        <v>525</v>
      </c>
      <c r="AE10" s="12">
        <v>-28.5</v>
      </c>
      <c r="AF10" s="12">
        <v>720.5</v>
      </c>
      <c r="AG10" s="12">
        <v>720.5</v>
      </c>
      <c r="AH10" s="12">
        <v>457</v>
      </c>
      <c r="AI10" s="12">
        <v>530</v>
      </c>
      <c r="AJ10" s="12">
        <v>511</v>
      </c>
      <c r="AK10" s="12">
        <v>299.29599999999999</v>
      </c>
      <c r="AL10" s="12">
        <v>299.29599999999999</v>
      </c>
      <c r="AM10" s="12">
        <v>361</v>
      </c>
      <c r="AN10" s="12">
        <v>361</v>
      </c>
      <c r="AO10" s="12">
        <v>970.7</v>
      </c>
      <c r="AP10" s="12">
        <v>970.7</v>
      </c>
      <c r="AQ10" s="12">
        <v>890.46</v>
      </c>
      <c r="AR10" s="12">
        <v>890.46</v>
      </c>
      <c r="AS10" s="12">
        <v>356.65800000000002</v>
      </c>
      <c r="AT10" s="12">
        <v>356.65800000000002</v>
      </c>
      <c r="AU10" s="12">
        <v>164.08</v>
      </c>
      <c r="AV10" s="12">
        <v>164.08</v>
      </c>
      <c r="AW10" s="12">
        <v>105.7</v>
      </c>
      <c r="AX10" s="12">
        <v>586.25400000000002</v>
      </c>
      <c r="AY10" s="12">
        <v>586.25400000000002</v>
      </c>
      <c r="AZ10" s="12">
        <v>553.28899999999999</v>
      </c>
      <c r="BA10" s="12">
        <v>553.28899999999999</v>
      </c>
      <c r="BB10" s="12">
        <v>233.994</v>
      </c>
      <c r="BC10" s="12">
        <v>141.327</v>
      </c>
      <c r="BD10" s="12">
        <v>787.18700000000001</v>
      </c>
      <c r="BE10" s="12">
        <v>721.75300000000004</v>
      </c>
      <c r="BF10" s="12">
        <v>910.1</v>
      </c>
      <c r="BG10" s="12">
        <v>778.1</v>
      </c>
      <c r="BH10" s="12">
        <v>-185.34100000000001</v>
      </c>
      <c r="BI10" s="12">
        <v>-185.43100000000001</v>
      </c>
      <c r="BJ10" s="12">
        <v>498.06</v>
      </c>
      <c r="BK10" s="12">
        <v>489.22</v>
      </c>
    </row>
    <row r="11" spans="1:76" s="12" customFormat="1" ht="15.75" customHeight="1" x14ac:dyDescent="0.2">
      <c r="A11" s="21" t="s">
        <v>69</v>
      </c>
      <c r="B11" s="11" t="s">
        <v>70</v>
      </c>
      <c r="C11" s="11" t="s">
        <v>61</v>
      </c>
      <c r="D11" s="7">
        <v>1</v>
      </c>
      <c r="S11" s="12">
        <v>342.6</v>
      </c>
      <c r="T11" s="12">
        <v>342.6</v>
      </c>
      <c r="AK11" s="12">
        <v>361.73099999999999</v>
      </c>
      <c r="AL11" s="12">
        <v>361.73099999999999</v>
      </c>
      <c r="BH11" s="12">
        <v>288.28199999999998</v>
      </c>
      <c r="BI11" s="12">
        <v>288.28199999999998</v>
      </c>
    </row>
    <row r="12" spans="1:76" s="12" customFormat="1" ht="15.75" customHeight="1" x14ac:dyDescent="0.2">
      <c r="A12" s="21" t="s">
        <v>69</v>
      </c>
      <c r="B12" s="11" t="s">
        <v>70</v>
      </c>
      <c r="C12" s="11" t="s">
        <v>62</v>
      </c>
      <c r="D12" s="7">
        <v>1</v>
      </c>
      <c r="E12" s="12">
        <v>7.57</v>
      </c>
      <c r="F12" s="12">
        <v>2.11</v>
      </c>
      <c r="G12" s="12">
        <v>5.14</v>
      </c>
      <c r="H12" s="12">
        <v>5.14</v>
      </c>
      <c r="K12" s="12">
        <v>2.2000000000000002</v>
      </c>
      <c r="L12" s="12">
        <v>2.2000000000000002</v>
      </c>
      <c r="M12" s="12">
        <v>3.12</v>
      </c>
      <c r="N12" s="12">
        <v>4.12</v>
      </c>
      <c r="O12" s="12">
        <v>4.12</v>
      </c>
      <c r="P12" s="12">
        <v>6.94</v>
      </c>
      <c r="Q12" s="12">
        <v>1.25</v>
      </c>
      <c r="R12" s="12">
        <v>1.25</v>
      </c>
      <c r="W12" s="12">
        <v>0.89</v>
      </c>
      <c r="X12" s="12">
        <v>2.0499999999999998</v>
      </c>
      <c r="Y12" s="12">
        <v>0.22</v>
      </c>
      <c r="Z12" s="12">
        <v>1.0900000000000001</v>
      </c>
      <c r="AA12" s="12">
        <v>0.64</v>
      </c>
      <c r="AB12" s="12">
        <v>1.8</v>
      </c>
      <c r="AC12" s="12">
        <v>1.03</v>
      </c>
      <c r="AD12" s="12">
        <v>2.71</v>
      </c>
      <c r="AE12" s="12">
        <v>2.81</v>
      </c>
      <c r="AF12" s="12">
        <v>2.72</v>
      </c>
      <c r="AG12" s="12">
        <v>2.72</v>
      </c>
      <c r="AH12" s="12">
        <v>2.61</v>
      </c>
      <c r="AI12" s="12">
        <v>2.36</v>
      </c>
      <c r="AM12" s="12">
        <v>2</v>
      </c>
      <c r="AN12" s="12">
        <v>2</v>
      </c>
      <c r="AS12" s="12">
        <v>1.704</v>
      </c>
      <c r="AT12" s="12">
        <v>1.704</v>
      </c>
      <c r="AU12" s="12">
        <v>1.95</v>
      </c>
      <c r="AV12" s="12">
        <v>1.95</v>
      </c>
      <c r="AW12" s="12">
        <v>2.99</v>
      </c>
      <c r="AX12" s="12">
        <v>-0.26500000000000001</v>
      </c>
      <c r="AY12" s="12">
        <v>-0.26500000000000001</v>
      </c>
      <c r="BB12" s="12">
        <v>2.6320000000000001</v>
      </c>
      <c r="BC12" s="12">
        <v>3.0379999999999998</v>
      </c>
      <c r="BJ12" s="12">
        <v>2.64</v>
      </c>
      <c r="BK12" s="12">
        <v>3.19</v>
      </c>
    </row>
    <row r="13" spans="1:76" s="12" customFormat="1" ht="15.75" customHeight="1" x14ac:dyDescent="0.2">
      <c r="A13" s="21" t="s">
        <v>69</v>
      </c>
      <c r="B13" s="11" t="s">
        <v>70</v>
      </c>
      <c r="C13" s="11" t="s">
        <v>62</v>
      </c>
      <c r="D13" s="7">
        <v>2</v>
      </c>
      <c r="AJ13" s="12">
        <v>6.6E-3</v>
      </c>
    </row>
    <row r="14" spans="1:76" s="12" customFormat="1" ht="15.75" customHeight="1" x14ac:dyDescent="0.2">
      <c r="A14" s="21" t="s">
        <v>71</v>
      </c>
      <c r="B14" s="11" t="s">
        <v>72</v>
      </c>
      <c r="C14" s="11" t="s">
        <v>63</v>
      </c>
      <c r="D14" s="7">
        <v>2</v>
      </c>
      <c r="AJ14" s="12">
        <v>-0.03</v>
      </c>
      <c r="AQ14" s="12">
        <v>3.4500000000000003E-2</v>
      </c>
      <c r="AR14" s="12">
        <v>3.4500000000000003E-2</v>
      </c>
    </row>
    <row r="15" spans="1:76" s="12" customFormat="1" ht="15.75" customHeight="1" x14ac:dyDescent="0.2">
      <c r="A15" s="21" t="s">
        <v>71</v>
      </c>
      <c r="B15" s="11" t="s">
        <v>72</v>
      </c>
      <c r="C15" s="11" t="s">
        <v>63</v>
      </c>
      <c r="D15" s="7">
        <v>1</v>
      </c>
      <c r="E15" s="12">
        <v>-5.0199999999999996</v>
      </c>
      <c r="F15" s="12">
        <v>-5.78</v>
      </c>
      <c r="G15" s="12">
        <v>-5.32</v>
      </c>
      <c r="H15" s="12">
        <v>-5.32</v>
      </c>
      <c r="I15" s="12">
        <v>-2.99</v>
      </c>
      <c r="J15" s="12">
        <v>-2.99</v>
      </c>
      <c r="K15" s="12">
        <v>-5.3</v>
      </c>
      <c r="L15" s="12">
        <v>-5.3</v>
      </c>
      <c r="N15" s="12">
        <v>-1.75</v>
      </c>
      <c r="O15" s="12">
        <v>-1.75</v>
      </c>
      <c r="P15" s="12">
        <v>-4.49</v>
      </c>
      <c r="Q15" s="12">
        <v>-2.8159999999999998</v>
      </c>
      <c r="R15" s="12">
        <v>-2.8159999999999998</v>
      </c>
      <c r="S15" s="12">
        <v>-4.34</v>
      </c>
      <c r="T15" s="12">
        <v>-4.34</v>
      </c>
      <c r="U15" s="12">
        <v>-1.8460000000000001</v>
      </c>
      <c r="V15" s="12">
        <v>-1.8460000000000001</v>
      </c>
      <c r="W15" s="12">
        <v>-5.68</v>
      </c>
      <c r="X15" s="12">
        <v>-2.97</v>
      </c>
      <c r="Y15" s="12">
        <v>-6.15</v>
      </c>
      <c r="Z15" s="12">
        <v>-3.95</v>
      </c>
      <c r="AA15" s="12">
        <v>-6.32</v>
      </c>
      <c r="AB15" s="12">
        <v>-3.81</v>
      </c>
      <c r="AC15" s="12">
        <v>-5.71</v>
      </c>
      <c r="AD15" s="12">
        <v>-2.86</v>
      </c>
      <c r="AE15" s="12">
        <v>0.79</v>
      </c>
      <c r="AF15" s="12">
        <v>-5.14</v>
      </c>
      <c r="AG15" s="12">
        <v>-5.14</v>
      </c>
      <c r="AH15" s="12">
        <v>-3.46</v>
      </c>
      <c r="AI15" s="12">
        <v>-3.31</v>
      </c>
      <c r="AK15" s="12">
        <v>-2.7280000000000002</v>
      </c>
      <c r="AL15" s="12">
        <v>-2.7280000000000002</v>
      </c>
      <c r="AM15" s="12">
        <v>-4</v>
      </c>
      <c r="AN15" s="12">
        <v>-4</v>
      </c>
      <c r="AO15" s="12">
        <v>-5.5</v>
      </c>
      <c r="AP15" s="12">
        <v>-5.5</v>
      </c>
      <c r="AQ15" s="12">
        <v>-6.11</v>
      </c>
      <c r="AR15" s="12">
        <v>-6.11</v>
      </c>
      <c r="AS15" s="12">
        <v>-2.3029999999999999</v>
      </c>
      <c r="AT15" s="12">
        <v>-2.3029999999999999</v>
      </c>
      <c r="AU15" s="12">
        <v>-1.9</v>
      </c>
      <c r="AV15" s="12">
        <v>-1.9</v>
      </c>
      <c r="AX15" s="12">
        <v>0.11700000000000001</v>
      </c>
      <c r="AY15" s="12">
        <v>0.11700000000000001</v>
      </c>
      <c r="AZ15" s="12">
        <v>-2.11</v>
      </c>
      <c r="BA15" s="12">
        <v>-2.11</v>
      </c>
      <c r="BB15" s="12">
        <v>-1.8149999999999999</v>
      </c>
      <c r="BC15" s="12">
        <v>-1.0389999999999999</v>
      </c>
      <c r="BD15" s="12">
        <v>-2.0249999999999999</v>
      </c>
      <c r="BE15" s="12">
        <v>-1.6060000000000001</v>
      </c>
      <c r="BH15" s="12">
        <v>-1.343</v>
      </c>
      <c r="BI15" s="12">
        <v>-1.343</v>
      </c>
      <c r="BJ15" s="12">
        <v>-4.8</v>
      </c>
      <c r="BK15" s="12">
        <v>-4.33</v>
      </c>
    </row>
    <row r="16" spans="1:76" s="12" customFormat="1" ht="15.75" customHeight="1" x14ac:dyDescent="0.2">
      <c r="A16" s="21" t="s">
        <v>71</v>
      </c>
      <c r="B16" s="11" t="s">
        <v>72</v>
      </c>
      <c r="C16" s="11" t="s">
        <v>63</v>
      </c>
      <c r="D16" s="7">
        <v>-1</v>
      </c>
      <c r="BF16" s="12">
        <v>-60.7</v>
      </c>
      <c r="BG16" s="12">
        <v>-42.5</v>
      </c>
    </row>
    <row r="17" spans="1:63" s="12" customFormat="1" ht="15.75" customHeight="1" x14ac:dyDescent="0.2">
      <c r="A17" s="21" t="s">
        <v>73</v>
      </c>
      <c r="B17" s="11" t="s">
        <v>74</v>
      </c>
      <c r="C17" s="11" t="s">
        <v>64</v>
      </c>
      <c r="D17" s="7">
        <v>1</v>
      </c>
      <c r="E17" s="12">
        <v>-1.76</v>
      </c>
      <c r="F17" s="12">
        <v>-2.29</v>
      </c>
      <c r="G17" s="12">
        <v>-1.8</v>
      </c>
      <c r="H17" s="12">
        <v>-1.8</v>
      </c>
      <c r="K17" s="12">
        <v>-0.93</v>
      </c>
      <c r="L17" s="12">
        <v>-0.93</v>
      </c>
      <c r="N17" s="12">
        <v>-1.1499999999999999</v>
      </c>
      <c r="O17" s="12">
        <v>-1.1499999999999999</v>
      </c>
      <c r="P17" s="12">
        <v>-3.51</v>
      </c>
      <c r="S17" s="12">
        <v>-1.46</v>
      </c>
      <c r="T17" s="12">
        <v>-1.46</v>
      </c>
      <c r="AF17" s="12">
        <v>-2.23</v>
      </c>
      <c r="AG17" s="12">
        <v>-2.23</v>
      </c>
      <c r="AH17" s="12">
        <v>-1.57</v>
      </c>
      <c r="AI17" s="12">
        <v>-1.49</v>
      </c>
      <c r="AK17" s="12">
        <v>-2.16</v>
      </c>
      <c r="AL17" s="12">
        <v>-2.16</v>
      </c>
      <c r="AM17" s="12">
        <v>-1.5</v>
      </c>
      <c r="AN17" s="12">
        <v>-1.5</v>
      </c>
      <c r="AX17" s="12">
        <v>0.622</v>
      </c>
      <c r="AY17" s="12">
        <v>0.622</v>
      </c>
      <c r="BH17" s="12">
        <v>-1.6140000000000001</v>
      </c>
      <c r="BI17" s="12">
        <v>-1.6140000000000001</v>
      </c>
      <c r="BJ17" s="12">
        <v>-1.24</v>
      </c>
      <c r="BK17" s="12">
        <v>-2.1800000000000002</v>
      </c>
    </row>
    <row r="18" spans="1:63" s="12" customFormat="1" ht="15.75" customHeight="1" x14ac:dyDescent="0.2">
      <c r="A18" s="21" t="s">
        <v>57</v>
      </c>
      <c r="B18" s="11" t="s">
        <v>75</v>
      </c>
      <c r="C18" s="11"/>
      <c r="D18" s="7">
        <v>1</v>
      </c>
      <c r="G18" s="12">
        <v>51.31</v>
      </c>
      <c r="J18" s="12">
        <v>-74.7</v>
      </c>
      <c r="L18" s="12">
        <v>17</v>
      </c>
      <c r="N18" s="12">
        <v>-34.04</v>
      </c>
      <c r="Q18" s="12">
        <v>-39.07</v>
      </c>
      <c r="T18" s="12">
        <v>62.5</v>
      </c>
      <c r="U18" s="12">
        <v>61.503</v>
      </c>
      <c r="AF18" s="12">
        <v>-160.27000000000001</v>
      </c>
      <c r="AK18" s="12">
        <v>56.386000000000003</v>
      </c>
      <c r="AM18" s="12">
        <v>-30</v>
      </c>
      <c r="AP18" s="12">
        <v>56.3</v>
      </c>
      <c r="AR18" s="12">
        <v>48.87</v>
      </c>
      <c r="AS18" s="12">
        <v>36.648000000000003</v>
      </c>
      <c r="AV18" s="12">
        <v>78.06</v>
      </c>
      <c r="AY18" s="12">
        <v>-63.343000000000004</v>
      </c>
      <c r="BA18" s="12">
        <v>45.323</v>
      </c>
      <c r="BD18" s="12">
        <v>54.735999999999997</v>
      </c>
      <c r="BE18" s="12">
        <v>58.36</v>
      </c>
      <c r="BF18" s="12">
        <v>50.6</v>
      </c>
      <c r="BG18" s="12">
        <v>46.2</v>
      </c>
      <c r="BH18" s="12">
        <v>27.463000000000001</v>
      </c>
    </row>
    <row r="19" spans="1:63" s="12" customFormat="1" ht="15.75" customHeight="1" x14ac:dyDescent="0.2">
      <c r="A19" s="21" t="s">
        <v>76</v>
      </c>
      <c r="B19" s="11" t="s">
        <v>77</v>
      </c>
      <c r="C19" s="11" t="s">
        <v>65</v>
      </c>
      <c r="D19" s="7">
        <v>1</v>
      </c>
      <c r="P19" s="12">
        <v>5.5</v>
      </c>
      <c r="Y19" s="12">
        <v>2.12</v>
      </c>
      <c r="Z19" s="12">
        <v>2.69</v>
      </c>
      <c r="AA19" s="12">
        <v>2.69</v>
      </c>
      <c r="AB19" s="12">
        <v>2.41</v>
      </c>
      <c r="AM19" s="12">
        <v>3</v>
      </c>
      <c r="AN19" s="12">
        <v>3</v>
      </c>
      <c r="BH19" s="12">
        <v>4.3490000000000002</v>
      </c>
      <c r="BI19" s="12">
        <v>4.3490000000000002</v>
      </c>
    </row>
    <row r="20" spans="1:63" s="12" customFormat="1" ht="15.75" customHeight="1" x14ac:dyDescent="0.2">
      <c r="A20" s="21" t="s">
        <v>120</v>
      </c>
      <c r="B20" s="11" t="s">
        <v>121</v>
      </c>
      <c r="C20" s="11" t="s">
        <v>80</v>
      </c>
      <c r="D20" s="7">
        <v>1</v>
      </c>
      <c r="AS20" s="12">
        <v>1.365</v>
      </c>
      <c r="AT20" s="12">
        <v>1.365</v>
      </c>
      <c r="BE20" s="12">
        <v>0.89100000000000001</v>
      </c>
    </row>
    <row r="21" spans="1:63" s="12" customFormat="1" ht="15.75" customHeight="1" x14ac:dyDescent="0.2">
      <c r="A21" s="21" t="s">
        <v>78</v>
      </c>
      <c r="B21" s="11" t="s">
        <v>79</v>
      </c>
      <c r="C21" s="11" t="s">
        <v>81</v>
      </c>
      <c r="D21" s="7">
        <v>1</v>
      </c>
      <c r="BG21" s="12">
        <v>0.65</v>
      </c>
      <c r="BH21" s="12">
        <v>1.1910000000000001</v>
      </c>
      <c r="BI21" s="12">
        <v>1.1910000000000001</v>
      </c>
    </row>
    <row r="22" spans="1:63" s="12" customFormat="1" ht="15.75" customHeight="1" x14ac:dyDescent="0.2">
      <c r="A22" s="21" t="s">
        <v>82</v>
      </c>
      <c r="B22" s="11" t="s">
        <v>83</v>
      </c>
      <c r="C22" s="11" t="s">
        <v>118</v>
      </c>
      <c r="D22" s="7">
        <v>1</v>
      </c>
      <c r="M22" s="12">
        <v>23.29</v>
      </c>
    </row>
    <row r="23" spans="1:63" s="12" customFormat="1" ht="15.75" customHeight="1" x14ac:dyDescent="0.2">
      <c r="A23" s="21" t="s">
        <v>58</v>
      </c>
      <c r="B23" s="11" t="s">
        <v>58</v>
      </c>
      <c r="C23" s="11"/>
      <c r="D23" s="7">
        <v>1</v>
      </c>
      <c r="BG23" s="12">
        <v>8.43</v>
      </c>
    </row>
    <row r="24" spans="1:63" s="12" customFormat="1" ht="15.75" customHeight="1" x14ac:dyDescent="0.2">
      <c r="A24" s="21" t="s">
        <v>59</v>
      </c>
      <c r="B24" s="11" t="s">
        <v>59</v>
      </c>
      <c r="C24" s="11"/>
      <c r="D24" s="7">
        <v>1</v>
      </c>
      <c r="BG24" s="12">
        <v>16.100000000000001</v>
      </c>
    </row>
    <row r="25" spans="1:63" s="12" customFormat="1" ht="15.75" customHeight="1" x14ac:dyDescent="0.2">
      <c r="A25" s="21" t="s">
        <v>87</v>
      </c>
      <c r="B25" s="11" t="s">
        <v>84</v>
      </c>
      <c r="C25" s="11" t="s">
        <v>61</v>
      </c>
      <c r="D25" s="7">
        <v>2</v>
      </c>
      <c r="BF25" s="12">
        <v>0.1</v>
      </c>
      <c r="BG25" s="12">
        <v>0.1</v>
      </c>
    </row>
    <row r="26" spans="1:63" s="12" customFormat="1" ht="15.75" customHeight="1" x14ac:dyDescent="0.2">
      <c r="A26" s="20" t="s">
        <v>85</v>
      </c>
      <c r="B26" s="12" t="s">
        <v>86</v>
      </c>
      <c r="C26" s="12" t="s">
        <v>66</v>
      </c>
      <c r="D26" s="7">
        <v>1</v>
      </c>
      <c r="X26" s="12">
        <v>-5.5</v>
      </c>
      <c r="Z26" s="12">
        <v>-5.69</v>
      </c>
      <c r="AB26" s="12">
        <v>-6.92</v>
      </c>
      <c r="AD26" s="12">
        <v>-6.22</v>
      </c>
      <c r="AQ26" s="12">
        <v>-4.87</v>
      </c>
      <c r="AR26" s="12">
        <v>-4.87</v>
      </c>
      <c r="BD26" s="12">
        <v>-4.3810000000000002</v>
      </c>
      <c r="BE26" s="12">
        <v>-4.016</v>
      </c>
      <c r="BF26" s="12">
        <v>-5.08</v>
      </c>
      <c r="BG26" s="12">
        <v>-5</v>
      </c>
    </row>
    <row r="27" spans="1:63" ht="15" customHeight="1" x14ac:dyDescent="0.2">
      <c r="A27" s="20" t="s">
        <v>85</v>
      </c>
      <c r="B27" s="12" t="s">
        <v>86</v>
      </c>
      <c r="C27" s="12" t="s">
        <v>66</v>
      </c>
      <c r="D27" s="7">
        <v>2</v>
      </c>
      <c r="AJ27" s="12">
        <v>-6.8000000000000005E-2</v>
      </c>
    </row>
  </sheetData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LSCMR Ferreira</dc:creator>
  <cp:lastModifiedBy>Arthur De Sá Ferreira</cp:lastModifiedBy>
  <dcterms:created xsi:type="dcterms:W3CDTF">2015-11-23T16:10:03Z</dcterms:created>
  <dcterms:modified xsi:type="dcterms:W3CDTF">2026-04-17T13:45:45Z</dcterms:modified>
</cp:coreProperties>
</file>